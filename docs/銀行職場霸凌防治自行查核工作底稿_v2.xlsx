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xr:revisionPtr revIDLastSave="1" documentId="11_506E61849856AF7DE942C0C911423955F9734BC8" xr6:coauthVersionLast="47" xr6:coauthVersionMax="47" xr10:uidLastSave="{4E807A6C-A94C-4E62-8531-AC1BB4E430DB}"/>
  <bookViews>
    <workbookView xWindow="0" yWindow="0" windowWidth="0" windowHeight="0" xr2:uid="{00000000-000D-0000-FFFF-FFFF00000000}"/>
  </bookViews>
  <sheets>
    <sheet name="封面與說明" sheetId="1" r:id="rId1"/>
    <sheet name="主查核表" sheetId="2" r:id="rId2"/>
    <sheet name="制度文件清查" sheetId="3" r:id="rId3"/>
    <sheet name="期限管控檢核" sheetId="4" r:id="rId4"/>
    <sheet name="缺失與改善追蹤" sheetId="5" r:id="rId5"/>
    <sheet name="⑥個案處理檢核清單" sheetId="6" r:id="rId6"/>
  </sheets>
  <definedNames>
    <definedName name="_xlnm._FilterDatabase" localSheetId="1" hidden="1">主查核表!$A$1:$J$43</definedName>
    <definedName name="_xlnm._FilterDatabase" localSheetId="2" hidden="1">制度文件清查!$A$1:$F$17</definedName>
    <definedName name="_xlnm._FilterDatabase" localSheetId="3" hidden="1">期限管控檢核!$A$1:$G$13</definedName>
    <definedName name="_xlnm._FilterDatabase" localSheetId="4" hidden="1">缺失與改善追蹤!$A$1:$J$14</definedName>
    <definedName name="_xlnm._FilterDatabase" localSheetId="5" hidden="1">⑥個案處理檢核清單!$A$10:$J$52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1" l="1"/>
  <c r="B15" i="1"/>
  <c r="B14" i="1"/>
  <c r="B13" i="1"/>
</calcChain>
</file>

<file path=xl/sharedStrings.xml><?xml version="1.0" encoding="utf-8"?>
<sst xmlns="http://schemas.openxmlformats.org/spreadsheetml/2006/main" count="563" uniqueCount="408">
  <si>
    <t>銀行職場霸凌防治措施 自行查核工作底稿</t>
  </si>
  <si>
    <t>法規依據</t>
  </si>
  <si>
    <t>職業安全衛生法第22條之1至第22條之5、職場霸凌防治措施準則、勞動部職場霸凌防治措施指導手冊（115年6月）</t>
  </si>
  <si>
    <t>施行日期</t>
  </si>
  <si>
    <t>2026年（民國115年）7月1日</t>
  </si>
  <si>
    <t>適用對象</t>
  </si>
  <si>
    <t>本行（僱用勞工人數100人以上之事業單位，適用完整制度）</t>
  </si>
  <si>
    <t>查核期間</t>
  </si>
  <si>
    <t>查核單位</t>
  </si>
  <si>
    <t>查核人員</t>
  </si>
  <si>
    <t>覆核主管</t>
  </si>
  <si>
    <t>查核日期</t>
  </si>
  <si>
    <t>查核結果統計</t>
  </si>
  <si>
    <t>（自動帶入主查核表結果）</t>
  </si>
  <si>
    <t>合規</t>
  </si>
  <si>
    <t>部分合規</t>
  </si>
  <si>
    <t>不合規</t>
  </si>
  <si>
    <t>不適用</t>
  </si>
  <si>
    <t>填寫說明</t>
  </si>
  <si>
    <t>1. 查核結果欄位請從下拉選單選擇（合規/部分合規/不合規/不適用）。
2. 若勾選「部分合規」或「不合規」，請務必於缺失說明、改善計畫與預計完成日期欄位填寫。
3. 請於佐證文件編號欄位填寫對應之內部規範、申訴紀錄、調查報告等文件編號。
4. 本工作底稿涉及之程序與時效，依職場霸凌防治措施準則辦理；遇法規修正應同步更新。
5. 查核完成後請彙整缺失至「缺失與改善追蹤表」分頁，並追蹤改善情形。</t>
  </si>
  <si>
    <t>項次</t>
  </si>
  <si>
    <t>構面</t>
  </si>
  <si>
    <t>查核項目</t>
  </si>
  <si>
    <t>查核重點/應辦事項</t>
  </si>
  <si>
    <t>查核結果</t>
  </si>
  <si>
    <t>佐證文件編號</t>
  </si>
  <si>
    <t>缺失說明</t>
  </si>
  <si>
    <t>改善計畫</t>
  </si>
  <si>
    <t>預計完成日</t>
  </si>
  <si>
    <t>防治措施</t>
  </si>
  <si>
    <t>準則§4</t>
  </si>
  <si>
    <t>提供免於霸凌之工作環境</t>
  </si>
  <si>
    <t>雇主應積極採取必要之預防、處理及監督等措施，提供勞工免於職場霸凌之工作環境。</t>
  </si>
  <si>
    <t>隱私維護與不公開處理流程</t>
  </si>
  <si>
    <t>處理職場霸凌事件應維護當事人及關係人隱私，並訂定不公開處理流程。</t>
  </si>
  <si>
    <t>申訴管道</t>
  </si>
  <si>
    <t>準則§5</t>
  </si>
  <si>
    <t>建置申訴管道（電子信箱/專線/傳真）</t>
  </si>
  <si>
    <t>雇主應設置電子信箱、申訴專線、傳真等便利申訴之多元管道。</t>
  </si>
  <si>
    <t>工作場所顯著處公開揭示</t>
  </si>
  <si>
    <t>申訴管道應於工作場所顯著之處公開揭示，使勞工易於知悉。</t>
  </si>
  <si>
    <t>指派專人每上班日查收</t>
  </si>
  <si>
    <t>雇主應指派專人於每一上班日查收申訴並紀錄。</t>
  </si>
  <si>
    <t>防治規範</t>
  </si>
  <si>
    <t>準則§6</t>
  </si>
  <si>
    <t>訂定防治、申訴及懲戒處理規範並公開揭示</t>
  </si>
  <si>
    <t>100人以上事業單位應訂定『職場霸凌防治措施、申訴及懲戒處理規範』並公開揭示。</t>
  </si>
  <si>
    <t>規範內容涵蓋法定8項事項</t>
  </si>
  <si>
    <t>規範應涵蓋：行為樣態、預防、教育訓練、申訴處理單位、調查人員資格、不公開處理、懲戒、惡意虛構懲戒、最高負責人外部申訴管道等事項。</t>
  </si>
  <si>
    <t>教育訓練</t>
  </si>
  <si>
    <t>準則§6 III</t>
  </si>
  <si>
    <t>對全體人員實施防治教育訓練</t>
  </si>
  <si>
    <t>應對事業單位全體人員（含主管、勞工）實施職場霸凌防治教育訓練。</t>
  </si>
  <si>
    <t>準則§6 IV</t>
  </si>
  <si>
    <t>主管及調查相關人員加強訓練</t>
  </si>
  <si>
    <t>對各級主管、申訴處理單位、調查小組成員應加辦溝通技巧、管理、申訴處理等訓練。</t>
  </si>
  <si>
    <t>準則§14 IV</t>
  </si>
  <si>
    <t>調查小組事業單位成員受訓3小時以上</t>
  </si>
  <si>
    <t>調查小組之事業單位成員應完成3小時以上職場霸凌防治教育訓練。</t>
  </si>
  <si>
    <t>申訴處理單位</t>
  </si>
  <si>
    <t>準則§9</t>
  </si>
  <si>
    <t>申訴處理單位之組成</t>
  </si>
  <si>
    <t>申訴處理單位成員至少3人，任一性別不得少於三分之一。</t>
  </si>
  <si>
    <t>知悉時應變</t>
  </si>
  <si>
    <t>準則§7</t>
  </si>
  <si>
    <t>採取隔離措施及禁止不利對待</t>
  </si>
  <si>
    <t>知悉霸凌事件後應採取適當隔離措施，並禁止對申訴人為任何不利對待。</t>
  </si>
  <si>
    <t>提供法律、醫療、心理諮商等資源</t>
  </si>
  <si>
    <t>依申訴人需求協助轉介或提供法律扶助、醫療、心理諮商等資源。</t>
  </si>
  <si>
    <t>非經申訴而知悉時之處理</t>
  </si>
  <si>
    <t>非經申訴而知悉霸凌情事，應主動釐清查證並告知當事人救濟途徑。</t>
  </si>
  <si>
    <t>申訴紀錄</t>
  </si>
  <si>
    <t>準則§8</t>
  </si>
  <si>
    <t>接獲申訴作成書面紀錄</t>
  </si>
  <si>
    <t>接獲申訴後應作成書面紀錄，載明申訴人、被申訴人、事實經過、申訴日期等法定事項。</t>
  </si>
  <si>
    <t>受理判定</t>
  </si>
  <si>
    <t>準則§10</t>
  </si>
  <si>
    <t>10工作日內決定是否受理並書面通知</t>
  </si>
  <si>
    <t>申訴處理單位應於接獲申訴後10個工作日內決定是否受理，並以書面通知申訴人。</t>
  </si>
  <si>
    <t>系統登錄</t>
  </si>
  <si>
    <t>準則§11</t>
  </si>
  <si>
    <t>受理翌日起7工作日內登錄勞動部系統</t>
  </si>
  <si>
    <t>受理申訴翌日起7個工作日內登錄勞動部指定之資訊系統。</t>
  </si>
  <si>
    <t>調查程序</t>
  </si>
  <si>
    <t>準則§12</t>
  </si>
  <si>
    <t>客觀公正公平並保護隱私</t>
  </si>
  <si>
    <t>調查應秉持客觀、公正、公平原則，並保護當事人及關係人隱私。</t>
  </si>
  <si>
    <t>協調機制</t>
  </si>
  <si>
    <t>準則§13</t>
  </si>
  <si>
    <t>依申訴人意願啟動協調</t>
  </si>
  <si>
    <t>得依申訴人意願先行協調；協調逾1個月未達共識者應停止協調進入調查。</t>
  </si>
  <si>
    <t>調查小組</t>
  </si>
  <si>
    <t>準則§14</t>
  </si>
  <si>
    <t>15工作日內組成調查小組</t>
  </si>
  <si>
    <t>受理申訴日起15個工作日內組成調查小組。</t>
  </si>
  <si>
    <t>調查小組組成符合法定比例</t>
  </si>
  <si>
    <t>調查小組成員至少3人，外部專業人士不得少於二分之一，任一性別不得少於三分之一。</t>
  </si>
  <si>
    <t>利益迴避</t>
  </si>
  <si>
    <t>準則§15</t>
  </si>
  <si>
    <t>落實利益迴避及保密切結</t>
  </si>
  <si>
    <t>調查小組成員應落實利益迴避規定並簽署保密協定切結書。</t>
  </si>
  <si>
    <t>準則§16</t>
  </si>
  <si>
    <t>訪談前書面通知並錄音/錄影</t>
  </si>
  <si>
    <t>訪談前應書面通知受訪人；訪談得以錄音、錄影方式輔助紀錄。</t>
  </si>
  <si>
    <t>避免當事人對質、給予陳述答辯機會</t>
  </si>
  <si>
    <t>調查過程應避免申訴人與被申訴人對質，並充分給予陳述意見及答辯機會。</t>
  </si>
  <si>
    <t>調查報告</t>
  </si>
  <si>
    <t>準則§17</t>
  </si>
  <si>
    <t>2個月內完成調查報告（必要時延長1個月）</t>
  </si>
  <si>
    <t>調查小組成立翌日起2個月內完成調查報告；必要時得延長1個月。</t>
  </si>
  <si>
    <t>報告內容完整</t>
  </si>
  <si>
    <t>報告應包含案由、訪談過程、陳述重點、事實認定與理由、處理建議等項目。</t>
  </si>
  <si>
    <t>申訴決定</t>
  </si>
  <si>
    <t>準則§18</t>
  </si>
  <si>
    <t>1個月內過半同意作成決定</t>
  </si>
  <si>
    <t>申訴處理單位應於調查報告完成1個月內，經成員過半數同意作成申訴成立與否之決定。</t>
  </si>
  <si>
    <t>準則§18,§19</t>
  </si>
  <si>
    <t>10工作日內通知並登錄系統</t>
  </si>
  <si>
    <t>決定日起10個工作日內以書面通知當事人並登錄勞動部指定系統。</t>
  </si>
  <si>
    <t>懲處</t>
  </si>
  <si>
    <t>準則§19</t>
  </si>
  <si>
    <t>懲戒事由訂於工作規則</t>
  </si>
  <si>
    <t>依情節輕重對行為人為適當之懲戒，並於工作規則中明定霸凌懲處事由。</t>
  </si>
  <si>
    <t>申訴者保護</t>
  </si>
  <si>
    <t>準則§20</t>
  </si>
  <si>
    <t>禁止對申訴人不利處分</t>
  </si>
  <si>
    <t>禁止以申訴或協助調查為由對勞工解僱、降調、減薪、調職或其他不利處分。</t>
  </si>
  <si>
    <t>申復機制</t>
  </si>
  <si>
    <t>準則§22</t>
  </si>
  <si>
    <t>30日內書面申復管道</t>
  </si>
  <si>
    <t>當事人得於收到申訴決定之翌日起30日內以書面提出申復。</t>
  </si>
  <si>
    <t>申復審議</t>
  </si>
  <si>
    <t>10工作日內召開申復審議會議</t>
  </si>
  <si>
    <t>接獲申復後10個工作日內召開申復審議會議。</t>
  </si>
  <si>
    <t>申復調查小組</t>
  </si>
  <si>
    <t>申復調查小組組成符合比例</t>
  </si>
  <si>
    <t>申復案件之調查小組成員應符合人數、外部專業比例（必要時提升至2/3）及性別比例之規定。</t>
  </si>
  <si>
    <t>申復決定</t>
  </si>
  <si>
    <t>準則§23</t>
  </si>
  <si>
    <t>30日內作成決定（再行調查得展延30日）</t>
  </si>
  <si>
    <t>申復審議會議召開日起30日內作成附理由之申復決定；經再行調查得展延30日。</t>
  </si>
  <si>
    <t>重新調查</t>
  </si>
  <si>
    <t>準則§24</t>
  </si>
  <si>
    <t>2個月內完成重新調查</t>
  </si>
  <si>
    <t>接獲主管機關認定有重大瑕疵者，應於2個月內完成重新調查。</t>
  </si>
  <si>
    <t>事後追蹤</t>
  </si>
  <si>
    <t>準則§25</t>
  </si>
  <si>
    <t>追蹤、考核、監督與檢討</t>
  </si>
  <si>
    <t>對申訴及申復事件之處理結果應採取追蹤、考核、監督，並檢討改善防治措施。</t>
  </si>
  <si>
    <t>紀錄保存</t>
  </si>
  <si>
    <t>準則§26</t>
  </si>
  <si>
    <t>保存3年</t>
  </si>
  <si>
    <t>相關申訴、調查、申復處理紀錄及佐證資料應保存3年。</t>
  </si>
  <si>
    <t>法規競合</t>
  </si>
  <si>
    <t>準則§27</t>
  </si>
  <si>
    <t>與性騷擾事件之處理</t>
  </si>
  <si>
    <t>申訴事件同時涉及性騷擾者應程序分軌、事實得合併調查。</t>
  </si>
  <si>
    <t>最高負責人</t>
  </si>
  <si>
    <t>職安法§22-3、準則§6</t>
  </si>
  <si>
    <t>最高負責人外部申訴管道</t>
  </si>
  <si>
    <t>規範中應明定被申訴人為最高負責人時，得逕向地方主管機關提出申訴。</t>
  </si>
  <si>
    <t>派遣/承攬</t>
  </si>
  <si>
    <t>指導手冊</t>
  </si>
  <si>
    <t>派遣勞工納入防治對象</t>
  </si>
  <si>
    <t>派遣勞工納入防治對象，必要時與派遣事業單位共同調查。</t>
  </si>
  <si>
    <t>過渡案件</t>
  </si>
  <si>
    <t>指導手冊Q9</t>
  </si>
  <si>
    <t>施行前未結案件之續行處理</t>
  </si>
  <si>
    <t>115年7月1日前已受理而未結案件，應依新制續行處理並符合期限規定。</t>
  </si>
  <si>
    <t>外部專業人才</t>
  </si>
  <si>
    <t>運用勞動部專業人才資料庫</t>
  </si>
  <si>
    <t>調查小組外部專業人士得運用勞動部建置之職場霸凌調查專業人才資料庫。</t>
  </si>
  <si>
    <t>文件名稱</t>
  </si>
  <si>
    <t>建置狀態</t>
  </si>
  <si>
    <t>版本/日期</t>
  </si>
  <si>
    <t>保管單位</t>
  </si>
  <si>
    <t>備註</t>
  </si>
  <si>
    <t>職場霸凌防治措施、申訴及懲戒處理規範</t>
  </si>
  <si>
    <t>職場霸凌申訴書範本</t>
  </si>
  <si>
    <t>委任書、撤回書範本</t>
  </si>
  <si>
    <t>申訴是否受理通知書範本</t>
  </si>
  <si>
    <t>協調合意書範本</t>
  </si>
  <si>
    <t>受訪人員切結暨錄音錄影同意書範本</t>
  </si>
  <si>
    <t>利益迴避暨保密協定切結書範本</t>
  </si>
  <si>
    <t>調查訪談紀錄範本</t>
  </si>
  <si>
    <t>調查報告書範本</t>
  </si>
  <si>
    <t>申訴成立與否決定書範本</t>
  </si>
  <si>
    <t>申復申請書、申復審議決定書範本</t>
  </si>
  <si>
    <t>工作規則中職場霸凌懲處條款</t>
  </si>
  <si>
    <t>申訴管道公告（電子信箱、專線、傳真）</t>
  </si>
  <si>
    <t>教育訓練年度計畫與訓練紀錄</t>
  </si>
  <si>
    <t>員工協助方案(EAP)資源</t>
  </si>
  <si>
    <t>外部專業人士名單（含勞動部專業人才資料庫運用）</t>
  </si>
  <si>
    <t>處理階段</t>
  </si>
  <si>
    <t>起算點</t>
  </si>
  <si>
    <t>法定期限</t>
  </si>
  <si>
    <t>實際完成日</t>
  </si>
  <si>
    <t>是否符合</t>
  </si>
  <si>
    <t>接獲申訴日</t>
  </si>
  <si>
    <t>10個工作日內決定是否受理並書面通知</t>
  </si>
  <si>
    <t>系統登錄(受理)</t>
  </si>
  <si>
    <t>受理申訴之翌日</t>
  </si>
  <si>
    <t>7個工作日內登錄勞動部指定系統</t>
  </si>
  <si>
    <t>組成調查小組</t>
  </si>
  <si>
    <t>受理申訴日</t>
  </si>
  <si>
    <t>15個工作日內組成調查小組</t>
  </si>
  <si>
    <t>完成調查報告</t>
  </si>
  <si>
    <t>調查小組成立之翌日</t>
  </si>
  <si>
    <t>2個月內完成（必要時得延長1個月）</t>
  </si>
  <si>
    <t>作成申訴決定</t>
  </si>
  <si>
    <t>調查報告完成日</t>
  </si>
  <si>
    <t>1個月內由申訴處理單位過半同意作成決定</t>
  </si>
  <si>
    <t>申訴決定通知與登錄</t>
  </si>
  <si>
    <t>申訴決定日</t>
  </si>
  <si>
    <t>10個工作日內書面通知並登錄系統</t>
  </si>
  <si>
    <t>申復提出</t>
  </si>
  <si>
    <t>收到申訴決定之翌日</t>
  </si>
  <si>
    <t>30日內以書面提出申復</t>
  </si>
  <si>
    <t>召開申復審議會議</t>
  </si>
  <si>
    <t>接獲申復日</t>
  </si>
  <si>
    <t>10個工作日內召開</t>
  </si>
  <si>
    <t>作成申復決定</t>
  </si>
  <si>
    <t>申復審議會議召開日</t>
  </si>
  <si>
    <t>30日內作成（再行調查得展延30日）</t>
  </si>
  <si>
    <t>申復決定通知與登錄</t>
  </si>
  <si>
    <t>申復決定日</t>
  </si>
  <si>
    <t>主管機關認定有重大瑕疵日</t>
  </si>
  <si>
    <t>結案日</t>
  </si>
  <si>
    <t>對應主表項次</t>
  </si>
  <si>
    <t>風險等級</t>
  </si>
  <si>
    <t>改善對策</t>
  </si>
  <si>
    <t>負責單位/人員</t>
  </si>
  <si>
    <t>覆核狀態</t>
  </si>
  <si>
    <t>覆核人</t>
  </si>
  <si>
    <t>（範例）申訴管道未於分行顯著處張貼</t>
  </si>
  <si>
    <t>中</t>
  </si>
  <si>
    <t>（範例）製作標準公告並要求各分行張貼</t>
  </si>
  <si>
    <t>人資處 / OOO</t>
  </si>
  <si>
    <t>（範例）部分主管尚未完成防治教育訓練</t>
  </si>
  <si>
    <t>高</t>
  </si>
  <si>
    <t>（範例）安排第三季線上補訓，並列入年度考核</t>
  </si>
  <si>
    <t>教育訓練科</t>
  </si>
  <si>
    <t>（範例）申訴紀錄保存年限未滿3年即銷毀</t>
  </si>
  <si>
    <t>（範例）修訂文件保存辦法，集中由法遵處保管</t>
  </si>
  <si>
    <t>法遵處</t>
  </si>
  <si>
    <t>個案處理檢核清單 — 依職場霸凌防治措施準則辦理</t>
  </si>
  <si>
    <t>本表適用單一申訴案件，請經辦人員依序勾選並填寫日期、佐證文件編號</t>
  </si>
  <si>
    <t>案件編號</t>
  </si>
  <si>
    <t>受理日期</t>
  </si>
  <si>
    <t>申訴人姓名/單位</t>
  </si>
  <si>
    <t>被申訴人姓名/單位</t>
  </si>
  <si>
    <t>申訴方式（言詞/電子郵件/書面）</t>
  </si>
  <si>
    <t>是否為最高負責人案件（是/否）</t>
  </si>
  <si>
    <t>申訴處理單位召集人</t>
  </si>
  <si>
    <t>經辦人員</t>
  </si>
  <si>
    <t>預計結案日期</t>
  </si>
  <si>
    <t>實際結案日期</t>
  </si>
  <si>
    <t>階段</t>
  </si>
  <si>
    <t>步驟</t>
  </si>
  <si>
    <t>檢核項目</t>
  </si>
  <si>
    <t>應使用範本/表單</t>
  </si>
  <si>
    <t>完成日期</t>
  </si>
  <si>
    <t>完成狀態</t>
  </si>
  <si>
    <t>一、接獲申訴</t>
  </si>
  <si>
    <t>接獲申訴並作成紀錄（記載申訴人姓名、單位、聯絡方式、事實內容及證據）</t>
  </si>
  <si>
    <t>即時</t>
  </si>
  <si>
    <t>接獲申訴當下</t>
  </si>
  <si>
    <t>附錄3 申訴書範本</t>
  </si>
  <si>
    <t>未開始</t>
  </si>
  <si>
    <t>確認申訴人法定代理人/委任代理人資料（如有）</t>
  </si>
  <si>
    <t>接獲申訴時</t>
  </si>
  <si>
    <t>附錄4 委任書範本</t>
  </si>
  <si>
    <t>申訴人撤回申訴之處理（如有）</t>
  </si>
  <si>
    <t>撤回申請時</t>
  </si>
  <si>
    <t>附錄5 申訴撤回書範本</t>
  </si>
  <si>
    <t>二、受理判定</t>
  </si>
  <si>
    <t>判定是否受理並以書面通知申訴人</t>
  </si>
  <si>
    <t>10個工作日內</t>
  </si>
  <si>
    <t>接獲申訴之日起</t>
  </si>
  <si>
    <t>附錄6 申訴是否受理通知書</t>
  </si>
  <si>
    <t>不予受理者應於通知書內敘明理由（6種不受理事由）</t>
  </si>
  <si>
    <t>同上</t>
  </si>
  <si>
    <t>附錄6（理由欄）</t>
  </si>
  <si>
    <t>受理後登錄勞動部指定系統</t>
  </si>
  <si>
    <t>7個工作日內</t>
  </si>
  <si>
    <t>受理翌日起</t>
  </si>
  <si>
    <t>勞動部職場霸凌通報系統</t>
  </si>
  <si>
    <t>三、立即措施</t>
  </si>
  <si>
    <t>採取適當隔離措施（調整工作內容/座位/工作地點/居家辦公）</t>
  </si>
  <si>
    <t>知悉後立即</t>
  </si>
  <si>
    <t>知悉申訴時</t>
  </si>
  <si>
    <t>內部簽呈</t>
  </si>
  <si>
    <t>提供或轉介法律/醫療/心理諮商等資源</t>
  </si>
  <si>
    <t>EAP轉介單、附錄15、附錄16</t>
  </si>
  <si>
    <t>確認對申訴人無不利對待（解僱/降調/減薪等禁止）</t>
  </si>
  <si>
    <t>全程</t>
  </si>
  <si>
    <t>受理至結案</t>
  </si>
  <si>
    <t>簽核紀錄</t>
  </si>
  <si>
    <t>四、協調程序</t>
  </si>
  <si>
    <t>徵詢申訴人協調意願並告知權益</t>
  </si>
  <si>
    <t>受理後</t>
  </si>
  <si>
    <t>受理日後</t>
  </si>
  <si>
    <t>協調意願書</t>
  </si>
  <si>
    <t>安排協調人員（內部適當人員或外部專業）</t>
  </si>
  <si>
    <t>協調人員指派書</t>
  </si>
  <si>
    <t>協調進行（任一方無意願或逾1個月未共識即停止）</t>
  </si>
  <si>
    <t>至多1個月</t>
  </si>
  <si>
    <t>協調開始日</t>
  </si>
  <si>
    <t>會議紀錄</t>
  </si>
  <si>
    <t>協調成立作成合意書（載明事實及合意事項並當事人簽章）</t>
  </si>
  <si>
    <t>協調成立時</t>
  </si>
  <si>
    <t>附錄7 協調合意書範本</t>
  </si>
  <si>
    <t>協調成立後登錄勞動部系統</t>
  </si>
  <si>
    <t>協調合意書簽章日</t>
  </si>
  <si>
    <t>勞動部系統</t>
  </si>
  <si>
    <t>五、調查程序</t>
  </si>
  <si>
    <t>組成調查小組（成員≥3、外部專業≥1/2、性別任一≥1/3）</t>
  </si>
  <si>
    <t>15個工作日內</t>
  </si>
  <si>
    <t>受理申訴日起</t>
  </si>
  <si>
    <t>調查小組組成簽呈</t>
  </si>
  <si>
    <t>調查小組內部成員完成3小時職場霸凌防治教育訓練</t>
  </si>
  <si>
    <t>組成前完成</t>
  </si>
  <si>
    <t>組成日前</t>
  </si>
  <si>
    <t>訓練證明</t>
  </si>
  <si>
    <t>調查人員與當事人簽署利益迴避暨保密協定切結書</t>
  </si>
  <si>
    <t>調查開始前</t>
  </si>
  <si>
    <t>附錄9 利益迴避暨保密切結書</t>
  </si>
  <si>
    <t>訪談前以書面通知當事人及相關人員（含目的、時間、地點及不到場效果）</t>
  </si>
  <si>
    <t>訪談前</t>
  </si>
  <si>
    <t>訪談通知書</t>
  </si>
  <si>
    <t>訪談時以錄音或錄影輔助並簽署同意書</t>
  </si>
  <si>
    <t>訪談時</t>
  </si>
  <si>
    <t>附錄8 受訪人員切結暨錄音錄影同意書</t>
  </si>
  <si>
    <t>作成訪談紀錄</t>
  </si>
  <si>
    <t>訪談後</t>
  </si>
  <si>
    <t>訪談當日</t>
  </si>
  <si>
    <t>附錄10 調查訪談紀錄範本</t>
  </si>
  <si>
    <t>給予當事人陳述意見及答辯機會、禁止對質</t>
  </si>
  <si>
    <t>調查中</t>
  </si>
  <si>
    <t>調查期間</t>
  </si>
  <si>
    <t>紀錄</t>
  </si>
  <si>
    <t>完成調查報告（案由、訪談過程、陳述重點、事實認定、處理建議）</t>
  </si>
  <si>
    <t>2個月內（必要時+1個月）</t>
  </si>
  <si>
    <t>調查小組成立翌日起</t>
  </si>
  <si>
    <t>附錄11 調查報告書範本</t>
  </si>
  <si>
    <t>申訴處理單位審議調查報告（成員1/2出席、過半同意）</t>
  </si>
  <si>
    <t>1個月內</t>
  </si>
  <si>
    <t>調查報告完成日起</t>
  </si>
  <si>
    <t>審議會議紀錄</t>
  </si>
  <si>
    <t>作成職場霸凌申訴成立與否之決定（書面載明事實、理由、申復救濟方法及期限）</t>
  </si>
  <si>
    <t>附錄12 申訴成立與否決定書</t>
  </si>
  <si>
    <t>書面通知當事人</t>
  </si>
  <si>
    <t>作成決定之日起</t>
  </si>
  <si>
    <t>附錄12送達紀錄</t>
  </si>
  <si>
    <t>處理結果登錄勞動部系統</t>
  </si>
  <si>
    <t>六、懲處階段</t>
  </si>
  <si>
    <t>行為人經調查屬實之懲戒處理（依工作規則/獎懲規定）</t>
  </si>
  <si>
    <t>決定後</t>
  </si>
  <si>
    <t>人事懲處公文</t>
  </si>
  <si>
    <t>涉刑事責任者檢視勞基法§12終止契約適用</t>
  </si>
  <si>
    <t>視情節</t>
  </si>
  <si>
    <t>法律意見書</t>
  </si>
  <si>
    <t>七、申復程序</t>
  </si>
  <si>
    <t>當事人不服得以書面提出申復（同一事件1次為限）</t>
  </si>
  <si>
    <t>30日內</t>
  </si>
  <si>
    <t>收到決定書翌日起</t>
  </si>
  <si>
    <t>附錄13 申復申請書範本</t>
  </si>
  <si>
    <t>召開申復審議會議（由申訴處理單位成員推舉召集人）</t>
  </si>
  <si>
    <t>接獲申復後</t>
  </si>
  <si>
    <t>申復審議會議認定有重大瑕疵或新事證者，組成申復調查小組</t>
  </si>
  <si>
    <t>審議當日</t>
  </si>
  <si>
    <t>組成申復調查小組（成員≥3、外部專業≥2/3、性別任一≥1/3）</t>
  </si>
  <si>
    <t>必要時</t>
  </si>
  <si>
    <t>審議決定後</t>
  </si>
  <si>
    <t>申復調查小組組成簽呈</t>
  </si>
  <si>
    <t>作成附理由之決定（再行調查得展延30日）</t>
  </si>
  <si>
    <t>30日內（+30日）</t>
  </si>
  <si>
    <t>申復審議會議召開日起</t>
  </si>
  <si>
    <t>附錄14 申復審議決定書範本</t>
  </si>
  <si>
    <t>書面通知申復人及相對人</t>
  </si>
  <si>
    <t>申復決定日起</t>
  </si>
  <si>
    <t>送達紀錄</t>
  </si>
  <si>
    <t>申復結果登錄勞動部系統</t>
  </si>
  <si>
    <t>八、結案追蹤</t>
  </si>
  <si>
    <t>對行為人後續追蹤、考核、監督，避免報復</t>
  </si>
  <si>
    <t>結案後6個月內</t>
  </si>
  <si>
    <t>追蹤紀錄</t>
  </si>
  <si>
    <t>整體評估與檢討防治規範並採取改善措施</t>
  </si>
  <si>
    <t>每年</t>
  </si>
  <si>
    <t>年度</t>
  </si>
  <si>
    <t>檢討報告</t>
  </si>
  <si>
    <t>申訴與處理過程紀錄保存</t>
  </si>
  <si>
    <t>檔案目錄</t>
  </si>
  <si>
    <t>九、特殊情形</t>
  </si>
  <si>
    <t>涉及性騷擾者：程序分軌、事實合併調查（避免重複詢問）</t>
  </si>
  <si>
    <t>知悉時</t>
  </si>
  <si>
    <t>性騷擾調查紀錄</t>
  </si>
  <si>
    <t>派遣勞工/承攬勞工申訴：與要派/承攬單位共同調查</t>
  </si>
  <si>
    <t>共同調查協議</t>
  </si>
  <si>
    <t>被申訴人為最高負責人：協助申訴人逕向地方主管機關申訴</t>
  </si>
  <si>
    <t>地方主管機關公文</t>
  </si>
  <si>
    <t>過渡案件（7/1前已受理未結案件）續行處理至結案</t>
  </si>
  <si>
    <t>視個案</t>
  </si>
  <si>
    <t>簽呈</t>
  </si>
  <si>
    <t>簽核：</t>
  </si>
  <si>
    <t>經辦人員簽章：____________________      日期：______年______月______日</t>
  </si>
  <si>
    <t>申訴處理單位召集人簽章：____________________      日期：______年______月______日</t>
  </si>
  <si>
    <t>法遵/稽核單位簽章：____________________      日期：______年______月______日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</si>
</sst>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6"/>
      <color rgb="FF1F4E79"/>
      <name val="微軟正黑體"/>
    </font>
    <font>
      <b/>
      <sz val="12"/>
      <color rgb="FF1F4E79"/>
      <name val="微軟正黑體"/>
    </font>
    <font>
      <sz val="11"/>
      <name val="微軟正黑體"/>
    </font>
    <font>
      <b/>
      <sz val="11"/>
      <color rgb="FFFFFFFF"/>
      <name val="微軟正黑體"/>
    </font>
    <font>
      <b/>
      <sz val="14"/>
      <color rgb="FFFFFFFF"/>
      <name val="微軟正黑體"/>
    </font>
    <font>
      <i/>
      <sz val="10"/>
      <color rgb="FF595959"/>
      <name val="微軟正黑體"/>
    </font>
    <font>
      <b/>
      <sz val="10"/>
      <color rgb="FF1F4E79"/>
      <name val="微軟正黑體"/>
    </font>
    <font>
      <sz val="10"/>
      <name val="微軟正黑體"/>
    </font>
    <font>
      <b/>
      <sz val="10"/>
      <color rgb="FFFFFFFF"/>
      <name val="微軟正黑體"/>
    </font>
  </fonts>
  <fills count="14">
    <fill>
      <patternFill patternType="none"/>
    </fill>
    <fill>
      <patternFill patternType="gray125"/>
    </fill>
    <fill>
      <patternFill patternType="solid">
        <fgColor rgb="FFD9E1F2"/>
      </patternFill>
    </fill>
    <fill>
      <patternFill patternType="solid">
        <fgColor rgb="FF1F4E79"/>
      </patternFill>
    </fill>
    <fill>
      <patternFill patternType="solid">
        <fgColor rgb="FFEAF1FB"/>
      </patternFill>
    </fill>
    <fill>
      <patternFill patternType="solid">
        <fgColor rgb="FFDDEBF7"/>
      </patternFill>
    </fill>
    <fill>
      <patternFill patternType="solid">
        <fgColor rgb="FFE2EFDA"/>
      </patternFill>
    </fill>
    <fill>
      <patternFill patternType="solid">
        <fgColor rgb="FFFFF2CC"/>
      </patternFill>
    </fill>
    <fill>
      <patternFill patternType="solid">
        <fgColor rgb="FFE4DFEC"/>
      </patternFill>
    </fill>
    <fill>
      <patternFill patternType="solid">
        <fgColor rgb="FFFCE4D6"/>
      </patternFill>
    </fill>
    <fill>
      <patternFill patternType="solid">
        <fgColor rgb="FFFADBD8"/>
      </patternFill>
    </fill>
    <fill>
      <patternFill patternType="solid">
        <fgColor rgb="FFD1F2EB"/>
      </patternFill>
    </fill>
    <fill>
      <patternFill patternType="solid">
        <fgColor rgb="FFE7E6E6"/>
      </patternFill>
    </fill>
    <fill>
      <patternFill patternType="solid">
        <fgColor rgb="FFF8CBAD"/>
      </patternFill>
    </fill>
  </fills>
  <borders count="5">
    <border>
      <left/>
      <right/>
      <top/>
      <bottom/>
      <diagonal/>
    </border>
    <border>
      <left style="thin">
        <color rgb="FF999999"/>
      </left>
      <right style="thin">
        <color rgb="FF999999"/>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4">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0" fillId="0" borderId="1" xfId="0" applyBorder="1"/>
    <xf numFmtId="0" fontId="3"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7" fillId="2" borderId="4" xfId="0" applyFont="1" applyFill="1" applyBorder="1" applyAlignment="1">
      <alignment horizontal="center" vertical="center" wrapText="1"/>
    </xf>
    <xf numFmtId="0" fontId="8" fillId="0" borderId="4" xfId="0" applyFont="1" applyBorder="1" applyAlignment="1">
      <alignment horizontal="left" vertical="center" wrapText="1"/>
    </xf>
    <xf numFmtId="0" fontId="9" fillId="3" borderId="4"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8" fillId="0" borderId="4" xfId="0" applyFont="1" applyBorder="1" applyAlignment="1">
      <alignment horizontal="center" vertical="center" wrapText="1"/>
    </xf>
    <xf numFmtId="0" fontId="7" fillId="6" borderId="4"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7" fillId="8" borderId="4" xfId="0" applyFont="1" applyFill="1" applyBorder="1" applyAlignment="1">
      <alignment horizontal="center" vertical="center" wrapText="1"/>
    </xf>
    <xf numFmtId="0" fontId="7" fillId="9" borderId="4" xfId="0" applyFont="1" applyFill="1" applyBorder="1" applyAlignment="1">
      <alignment horizontal="center" vertical="center" wrapText="1"/>
    </xf>
    <xf numFmtId="0" fontId="7" fillId="10" borderId="4" xfId="0" applyFont="1" applyFill="1" applyBorder="1" applyAlignment="1">
      <alignment horizontal="center" vertical="center" wrapText="1"/>
    </xf>
    <xf numFmtId="0" fontId="7" fillId="11" borderId="4" xfId="0" applyFont="1" applyFill="1" applyBorder="1" applyAlignment="1">
      <alignment horizontal="center" vertical="center" wrapText="1"/>
    </xf>
    <xf numFmtId="0" fontId="7" fillId="12" borderId="4" xfId="0" applyFont="1" applyFill="1" applyBorder="1" applyAlignment="1">
      <alignment horizontal="center" vertical="center" wrapText="1"/>
    </xf>
    <xf numFmtId="0" fontId="7" fillId="13" borderId="4" xfId="0" applyFont="1" applyFill="1" applyBorder="1" applyAlignment="1">
      <alignment horizontal="center" vertical="center" wrapText="1"/>
    </xf>
    <xf numFmtId="0" fontId="7" fillId="2" borderId="0" xfId="0" applyFont="1" applyFill="1" applyAlignment="1">
      <alignment horizontal="center" vertical="center" wrapText="1"/>
    </xf>
    <xf numFmtId="0" fontId="3" fillId="0" borderId="1" xfId="0" applyFont="1" applyBorder="1" applyAlignment="1">
      <alignment horizontal="left" vertical="center" wrapText="1"/>
    </xf>
    <xf numFmtId="0" fontId="0" fillId="0" borderId="1" xfId="0" applyBorder="1" applyAlignment="1">
      <alignment horizontal="left" vertical="center" wrapText="1"/>
    </xf>
    <xf numFmtId="0" fontId="1" fillId="0" borderId="0" xfId="0" applyFont="1" applyAlignment="1">
      <alignment horizontal="center" vertical="center" wrapText="1"/>
    </xf>
    <xf numFmtId="0" fontId="3" fillId="0" borderId="1" xfId="0" applyFont="1" applyBorder="1" applyAlignment="1">
      <alignment horizontal="left" vertical="top" wrapText="1"/>
    </xf>
    <xf numFmtId="0" fontId="8" fillId="0" borderId="4" xfId="0" applyFont="1" applyBorder="1" applyAlignment="1">
      <alignment horizontal="left" vertical="center" wrapText="1"/>
    </xf>
    <xf numFmtId="0" fontId="5" fillId="3" borderId="0" xfId="0" applyFont="1" applyFill="1" applyAlignment="1">
      <alignment horizontal="center" vertical="center" wrapText="1"/>
    </xf>
    <xf numFmtId="0" fontId="8" fillId="0" borderId="0" xfId="0" applyFont="1" applyAlignment="1">
      <alignment horizontal="left" vertical="center" indent="1"/>
    </xf>
    <xf numFmtId="0" fontId="6" fillId="0" borderId="0" xfId="0" applyFont="1" applyAlignment="1">
      <alignment horizontal="center" vertical="center" wrapText="1"/>
    </xf>
    <xf numFmtId="0" fontId="0" fillId="0" borderId="0" xfId="0" applyAlignment="1"/>
    <xf numFmtId="0" fontId="0" fillId="0" borderId="2" xfId="0" applyBorder="1" applyAlignment="1"/>
    <xf numFmtId="0" fontId="0" fillId="0" borderId="3" xfId="0" applyBorder="1" applyAlignment="1"/>
    <xf numFmtId="0" fontId="0" fillId="0" borderId="4" xfId="0" applyBorder="1" applyAlignmen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tabSelected="1" workbookViewId="0"/>
  </sheetViews>
  <sheetFormatPr defaultRowHeight="15"/>
  <cols>
    <col min="1" max="1" width="18" customWidth="1"/>
    <col min="2" max="6" width="30" customWidth="1"/>
  </cols>
  <sheetData>
    <row r="1" spans="1:6" ht="36" customHeight="1">
      <c r="A1" s="24" t="s">
        <v>0</v>
      </c>
      <c r="B1" s="30"/>
      <c r="C1" s="30"/>
      <c r="D1" s="30"/>
      <c r="E1" s="30"/>
      <c r="F1" s="30"/>
    </row>
    <row r="3" spans="1:6" ht="27.95" customHeight="1">
      <c r="A3" s="1" t="s">
        <v>1</v>
      </c>
      <c r="B3" s="22" t="s">
        <v>2</v>
      </c>
      <c r="C3" s="31"/>
      <c r="D3" s="31"/>
      <c r="E3" s="31"/>
      <c r="F3" s="32"/>
    </row>
    <row r="4" spans="1:6" ht="27.95" customHeight="1">
      <c r="A4" s="1" t="s">
        <v>3</v>
      </c>
      <c r="B4" s="22" t="s">
        <v>4</v>
      </c>
      <c r="C4" s="31"/>
      <c r="D4" s="31"/>
      <c r="E4" s="31"/>
      <c r="F4" s="32"/>
    </row>
    <row r="5" spans="1:6" ht="27.95" customHeight="1">
      <c r="A5" s="1" t="s">
        <v>5</v>
      </c>
      <c r="B5" s="22" t="s">
        <v>6</v>
      </c>
      <c r="C5" s="31"/>
      <c r="D5" s="31"/>
      <c r="E5" s="31"/>
      <c r="F5" s="32"/>
    </row>
    <row r="6" spans="1:6" ht="27.95" customHeight="1">
      <c r="A6" s="1" t="s">
        <v>7</v>
      </c>
      <c r="B6" s="22"/>
      <c r="C6" s="31"/>
      <c r="D6" s="31"/>
      <c r="E6" s="31"/>
      <c r="F6" s="32"/>
    </row>
    <row r="7" spans="1:6" ht="27.95" customHeight="1">
      <c r="A7" s="1" t="s">
        <v>8</v>
      </c>
      <c r="B7" s="22"/>
      <c r="C7" s="31"/>
      <c r="D7" s="31"/>
      <c r="E7" s="31"/>
      <c r="F7" s="32"/>
    </row>
    <row r="8" spans="1:6" ht="27.95" customHeight="1">
      <c r="A8" s="1" t="s">
        <v>9</v>
      </c>
      <c r="B8" s="22"/>
      <c r="C8" s="31"/>
      <c r="D8" s="31"/>
      <c r="E8" s="31"/>
      <c r="F8" s="32"/>
    </row>
    <row r="9" spans="1:6" ht="27.95" customHeight="1">
      <c r="A9" s="1" t="s">
        <v>10</v>
      </c>
      <c r="B9" s="22"/>
      <c r="C9" s="31"/>
      <c r="D9" s="31"/>
      <c r="E9" s="31"/>
      <c r="F9" s="32"/>
    </row>
    <row r="10" spans="1:6" ht="27.95" customHeight="1">
      <c r="A10" s="1" t="s">
        <v>11</v>
      </c>
      <c r="B10" s="22"/>
      <c r="C10" s="31"/>
      <c r="D10" s="31"/>
      <c r="E10" s="31"/>
      <c r="F10" s="32"/>
    </row>
    <row r="12" spans="1:6">
      <c r="A12" s="1" t="s">
        <v>12</v>
      </c>
      <c r="B12" s="23" t="s">
        <v>13</v>
      </c>
      <c r="C12" s="31"/>
      <c r="D12" s="31"/>
      <c r="E12" s="31"/>
      <c r="F12" s="32"/>
    </row>
    <row r="13" spans="1:6" ht="21.95" customHeight="1">
      <c r="A13" s="4" t="s">
        <v>14</v>
      </c>
      <c r="B13" s="4">
        <f>COUNTIF(主查核表!F:F,"合規")</f>
        <v>0</v>
      </c>
      <c r="C13" s="3"/>
      <c r="D13" s="3"/>
      <c r="E13" s="3"/>
      <c r="F13" s="3"/>
    </row>
    <row r="14" spans="1:6" ht="21.95" customHeight="1">
      <c r="A14" s="4" t="s">
        <v>15</v>
      </c>
      <c r="B14" s="4">
        <f>COUNTIF(主查核表!F:F,"部分合規")</f>
        <v>0</v>
      </c>
      <c r="C14" s="3"/>
      <c r="D14" s="3"/>
      <c r="E14" s="3"/>
      <c r="F14" s="3"/>
    </row>
    <row r="15" spans="1:6" ht="21.95" customHeight="1">
      <c r="A15" s="4" t="s">
        <v>16</v>
      </c>
      <c r="B15" s="4">
        <f>COUNTIF(主查核表!F:F,"不合規")</f>
        <v>0</v>
      </c>
      <c r="C15" s="3"/>
      <c r="D15" s="3"/>
      <c r="E15" s="3"/>
      <c r="F15" s="3"/>
    </row>
    <row r="16" spans="1:6" ht="21.95" customHeight="1">
      <c r="A16" s="4" t="s">
        <v>17</v>
      </c>
      <c r="B16" s="4">
        <f>COUNTIF(主查核表!F:F,"不適用")</f>
        <v>0</v>
      </c>
      <c r="C16" s="3"/>
      <c r="D16" s="3"/>
      <c r="E16" s="3"/>
      <c r="F16" s="3"/>
    </row>
    <row r="18" spans="1:6" ht="110.1" customHeight="1">
      <c r="A18" s="1" t="s">
        <v>18</v>
      </c>
      <c r="B18" s="25" t="s">
        <v>19</v>
      </c>
      <c r="C18" s="31"/>
      <c r="D18" s="31"/>
      <c r="E18" s="31"/>
      <c r="F18" s="32"/>
    </row>
  </sheetData>
  <mergeCells count="11">
    <mergeCell ref="A1:F1"/>
    <mergeCell ref="B18:F18"/>
    <mergeCell ref="B3:F3"/>
    <mergeCell ref="B5:F5"/>
    <mergeCell ref="B8:F8"/>
    <mergeCell ref="B9:F9"/>
    <mergeCell ref="B4:F4"/>
    <mergeCell ref="B12:F12"/>
    <mergeCell ref="B7:F7"/>
    <mergeCell ref="B6:F6"/>
    <mergeCell ref="B10:F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3"/>
  <sheetViews>
    <sheetView workbookViewId="0">
      <pane ySplit="1" topLeftCell="A2" activePane="bottomLeft" state="frozen"/>
      <selection pane="bottomLeft"/>
    </sheetView>
  </sheetViews>
  <sheetFormatPr defaultRowHeight="15"/>
  <cols>
    <col min="1" max="1" width="6" customWidth="1"/>
    <col min="2" max="2" width="14" customWidth="1"/>
    <col min="3" max="3" width="18" customWidth="1"/>
    <col min="4" max="4" width="28" customWidth="1"/>
    <col min="5" max="5" width="55" customWidth="1"/>
    <col min="6" max="6" width="14" customWidth="1"/>
    <col min="7" max="7" width="18" customWidth="1"/>
    <col min="8" max="9" width="32" customWidth="1"/>
    <col min="10" max="10" width="14" customWidth="1"/>
  </cols>
  <sheetData>
    <row r="1" spans="1:10" ht="32.1" customHeight="1">
      <c r="A1" s="5" t="s">
        <v>20</v>
      </c>
      <c r="B1" s="5" t="s">
        <v>21</v>
      </c>
      <c r="C1" s="5" t="s">
        <v>1</v>
      </c>
      <c r="D1" s="5" t="s">
        <v>22</v>
      </c>
      <c r="E1" s="5" t="s">
        <v>23</v>
      </c>
      <c r="F1" s="5" t="s">
        <v>24</v>
      </c>
      <c r="G1" s="5" t="s">
        <v>25</v>
      </c>
      <c r="H1" s="5" t="s">
        <v>26</v>
      </c>
      <c r="I1" s="5" t="s">
        <v>27</v>
      </c>
      <c r="J1" s="5" t="s">
        <v>28</v>
      </c>
    </row>
    <row r="2" spans="1:10" ht="54" customHeight="1">
      <c r="A2" s="6">
        <v>1</v>
      </c>
      <c r="B2" s="7" t="s">
        <v>29</v>
      </c>
      <c r="C2" s="7" t="s">
        <v>30</v>
      </c>
      <c r="D2" s="7" t="s">
        <v>31</v>
      </c>
      <c r="E2" s="7" t="s">
        <v>32</v>
      </c>
      <c r="F2" s="6"/>
      <c r="G2" s="7"/>
      <c r="H2" s="7"/>
      <c r="I2" s="7"/>
      <c r="J2" s="6"/>
    </row>
    <row r="3" spans="1:10" ht="54" customHeight="1">
      <c r="A3" s="4">
        <v>2</v>
      </c>
      <c r="B3" s="2" t="s">
        <v>29</v>
      </c>
      <c r="C3" s="2" t="s">
        <v>30</v>
      </c>
      <c r="D3" s="2" t="s">
        <v>33</v>
      </c>
      <c r="E3" s="2" t="s">
        <v>34</v>
      </c>
      <c r="F3" s="4"/>
      <c r="G3" s="2"/>
      <c r="H3" s="2"/>
      <c r="I3" s="2"/>
      <c r="J3" s="4"/>
    </row>
    <row r="4" spans="1:10" ht="54" customHeight="1">
      <c r="A4" s="6">
        <v>3</v>
      </c>
      <c r="B4" s="7" t="s">
        <v>35</v>
      </c>
      <c r="C4" s="7" t="s">
        <v>36</v>
      </c>
      <c r="D4" s="7" t="s">
        <v>37</v>
      </c>
      <c r="E4" s="7" t="s">
        <v>38</v>
      </c>
      <c r="F4" s="6"/>
      <c r="G4" s="7"/>
      <c r="H4" s="7"/>
      <c r="I4" s="7"/>
      <c r="J4" s="6"/>
    </row>
    <row r="5" spans="1:10" ht="54" customHeight="1">
      <c r="A5" s="4">
        <v>4</v>
      </c>
      <c r="B5" s="2" t="s">
        <v>35</v>
      </c>
      <c r="C5" s="2" t="s">
        <v>36</v>
      </c>
      <c r="D5" s="2" t="s">
        <v>39</v>
      </c>
      <c r="E5" s="2" t="s">
        <v>40</v>
      </c>
      <c r="F5" s="4"/>
      <c r="G5" s="2"/>
      <c r="H5" s="2"/>
      <c r="I5" s="2"/>
      <c r="J5" s="4"/>
    </row>
    <row r="6" spans="1:10" ht="54" customHeight="1">
      <c r="A6" s="6">
        <v>5</v>
      </c>
      <c r="B6" s="7" t="s">
        <v>35</v>
      </c>
      <c r="C6" s="7" t="s">
        <v>36</v>
      </c>
      <c r="D6" s="7" t="s">
        <v>41</v>
      </c>
      <c r="E6" s="7" t="s">
        <v>42</v>
      </c>
      <c r="F6" s="6"/>
      <c r="G6" s="7"/>
      <c r="H6" s="7"/>
      <c r="I6" s="7"/>
      <c r="J6" s="6"/>
    </row>
    <row r="7" spans="1:10" ht="54" customHeight="1">
      <c r="A7" s="4">
        <v>6</v>
      </c>
      <c r="B7" s="2" t="s">
        <v>43</v>
      </c>
      <c r="C7" s="2" t="s">
        <v>44</v>
      </c>
      <c r="D7" s="2" t="s">
        <v>45</v>
      </c>
      <c r="E7" s="2" t="s">
        <v>46</v>
      </c>
      <c r="F7" s="4"/>
      <c r="G7" s="2"/>
      <c r="H7" s="2"/>
      <c r="I7" s="2"/>
      <c r="J7" s="4"/>
    </row>
    <row r="8" spans="1:10" ht="54" customHeight="1">
      <c r="A8" s="6">
        <v>7</v>
      </c>
      <c r="B8" s="7" t="s">
        <v>43</v>
      </c>
      <c r="C8" s="7" t="s">
        <v>44</v>
      </c>
      <c r="D8" s="7" t="s">
        <v>47</v>
      </c>
      <c r="E8" s="7" t="s">
        <v>48</v>
      </c>
      <c r="F8" s="6"/>
      <c r="G8" s="7"/>
      <c r="H8" s="7"/>
      <c r="I8" s="7"/>
      <c r="J8" s="6"/>
    </row>
    <row r="9" spans="1:10" ht="54" customHeight="1">
      <c r="A9" s="4">
        <v>8</v>
      </c>
      <c r="B9" s="2" t="s">
        <v>49</v>
      </c>
      <c r="C9" s="2" t="s">
        <v>50</v>
      </c>
      <c r="D9" s="2" t="s">
        <v>51</v>
      </c>
      <c r="E9" s="2" t="s">
        <v>52</v>
      </c>
      <c r="F9" s="4"/>
      <c r="G9" s="2"/>
      <c r="H9" s="2"/>
      <c r="I9" s="2"/>
      <c r="J9" s="4"/>
    </row>
    <row r="10" spans="1:10" ht="54" customHeight="1">
      <c r="A10" s="6">
        <v>9</v>
      </c>
      <c r="B10" s="7" t="s">
        <v>49</v>
      </c>
      <c r="C10" s="7" t="s">
        <v>53</v>
      </c>
      <c r="D10" s="7" t="s">
        <v>54</v>
      </c>
      <c r="E10" s="7" t="s">
        <v>55</v>
      </c>
      <c r="F10" s="6"/>
      <c r="G10" s="7"/>
      <c r="H10" s="7"/>
      <c r="I10" s="7"/>
      <c r="J10" s="6"/>
    </row>
    <row r="11" spans="1:10" ht="54" customHeight="1">
      <c r="A11" s="4">
        <v>10</v>
      </c>
      <c r="B11" s="2" t="s">
        <v>49</v>
      </c>
      <c r="C11" s="2" t="s">
        <v>56</v>
      </c>
      <c r="D11" s="2" t="s">
        <v>57</v>
      </c>
      <c r="E11" s="2" t="s">
        <v>58</v>
      </c>
      <c r="F11" s="4"/>
      <c r="G11" s="2"/>
      <c r="H11" s="2"/>
      <c r="I11" s="2"/>
      <c r="J11" s="4"/>
    </row>
    <row r="12" spans="1:10" ht="54" customHeight="1">
      <c r="A12" s="6">
        <v>11</v>
      </c>
      <c r="B12" s="7" t="s">
        <v>59</v>
      </c>
      <c r="C12" s="7" t="s">
        <v>60</v>
      </c>
      <c r="D12" s="7" t="s">
        <v>61</v>
      </c>
      <c r="E12" s="7" t="s">
        <v>62</v>
      </c>
      <c r="F12" s="6"/>
      <c r="G12" s="7"/>
      <c r="H12" s="7"/>
      <c r="I12" s="7"/>
      <c r="J12" s="6"/>
    </row>
    <row r="13" spans="1:10" ht="54" customHeight="1">
      <c r="A13" s="4">
        <v>12</v>
      </c>
      <c r="B13" s="2" t="s">
        <v>63</v>
      </c>
      <c r="C13" s="2" t="s">
        <v>64</v>
      </c>
      <c r="D13" s="2" t="s">
        <v>65</v>
      </c>
      <c r="E13" s="2" t="s">
        <v>66</v>
      </c>
      <c r="F13" s="4"/>
      <c r="G13" s="2"/>
      <c r="H13" s="2"/>
      <c r="I13" s="2"/>
      <c r="J13" s="4"/>
    </row>
    <row r="14" spans="1:10" ht="54" customHeight="1">
      <c r="A14" s="6">
        <v>13</v>
      </c>
      <c r="B14" s="7" t="s">
        <v>63</v>
      </c>
      <c r="C14" s="7" t="s">
        <v>64</v>
      </c>
      <c r="D14" s="7" t="s">
        <v>67</v>
      </c>
      <c r="E14" s="7" t="s">
        <v>68</v>
      </c>
      <c r="F14" s="6"/>
      <c r="G14" s="7"/>
      <c r="H14" s="7"/>
      <c r="I14" s="7"/>
      <c r="J14" s="6"/>
    </row>
    <row r="15" spans="1:10" ht="54" customHeight="1">
      <c r="A15" s="4">
        <v>14</v>
      </c>
      <c r="B15" s="2" t="s">
        <v>63</v>
      </c>
      <c r="C15" s="2" t="s">
        <v>64</v>
      </c>
      <c r="D15" s="2" t="s">
        <v>69</v>
      </c>
      <c r="E15" s="2" t="s">
        <v>70</v>
      </c>
      <c r="F15" s="4"/>
      <c r="G15" s="2"/>
      <c r="H15" s="2"/>
      <c r="I15" s="2"/>
      <c r="J15" s="4"/>
    </row>
    <row r="16" spans="1:10" ht="54" customHeight="1">
      <c r="A16" s="6">
        <v>15</v>
      </c>
      <c r="B16" s="7" t="s">
        <v>71</v>
      </c>
      <c r="C16" s="7" t="s">
        <v>72</v>
      </c>
      <c r="D16" s="7" t="s">
        <v>73</v>
      </c>
      <c r="E16" s="7" t="s">
        <v>74</v>
      </c>
      <c r="F16" s="6"/>
      <c r="G16" s="7"/>
      <c r="H16" s="7"/>
      <c r="I16" s="7"/>
      <c r="J16" s="6"/>
    </row>
    <row r="17" spans="1:10" ht="54" customHeight="1">
      <c r="A17" s="4">
        <v>16</v>
      </c>
      <c r="B17" s="2" t="s">
        <v>75</v>
      </c>
      <c r="C17" s="2" t="s">
        <v>76</v>
      </c>
      <c r="D17" s="2" t="s">
        <v>77</v>
      </c>
      <c r="E17" s="2" t="s">
        <v>78</v>
      </c>
      <c r="F17" s="4"/>
      <c r="G17" s="2"/>
      <c r="H17" s="2"/>
      <c r="I17" s="2"/>
      <c r="J17" s="4"/>
    </row>
    <row r="18" spans="1:10" ht="54" customHeight="1">
      <c r="A18" s="6">
        <v>17</v>
      </c>
      <c r="B18" s="7" t="s">
        <v>79</v>
      </c>
      <c r="C18" s="7" t="s">
        <v>80</v>
      </c>
      <c r="D18" s="7" t="s">
        <v>81</v>
      </c>
      <c r="E18" s="7" t="s">
        <v>82</v>
      </c>
      <c r="F18" s="6"/>
      <c r="G18" s="7"/>
      <c r="H18" s="7"/>
      <c r="I18" s="7"/>
      <c r="J18" s="6"/>
    </row>
    <row r="19" spans="1:10" ht="54" customHeight="1">
      <c r="A19" s="4">
        <v>18</v>
      </c>
      <c r="B19" s="2" t="s">
        <v>83</v>
      </c>
      <c r="C19" s="2" t="s">
        <v>84</v>
      </c>
      <c r="D19" s="2" t="s">
        <v>85</v>
      </c>
      <c r="E19" s="2" t="s">
        <v>86</v>
      </c>
      <c r="F19" s="4"/>
      <c r="G19" s="2"/>
      <c r="H19" s="2"/>
      <c r="I19" s="2"/>
      <c r="J19" s="4"/>
    </row>
    <row r="20" spans="1:10" ht="54" customHeight="1">
      <c r="A20" s="6">
        <v>19</v>
      </c>
      <c r="B20" s="7" t="s">
        <v>87</v>
      </c>
      <c r="C20" s="7" t="s">
        <v>88</v>
      </c>
      <c r="D20" s="7" t="s">
        <v>89</v>
      </c>
      <c r="E20" s="7" t="s">
        <v>90</v>
      </c>
      <c r="F20" s="6"/>
      <c r="G20" s="7"/>
      <c r="H20" s="7"/>
      <c r="I20" s="7"/>
      <c r="J20" s="6"/>
    </row>
    <row r="21" spans="1:10" ht="54" customHeight="1">
      <c r="A21" s="4">
        <v>20</v>
      </c>
      <c r="B21" s="2" t="s">
        <v>91</v>
      </c>
      <c r="C21" s="2" t="s">
        <v>92</v>
      </c>
      <c r="D21" s="2" t="s">
        <v>93</v>
      </c>
      <c r="E21" s="2" t="s">
        <v>94</v>
      </c>
      <c r="F21" s="4"/>
      <c r="G21" s="2"/>
      <c r="H21" s="2"/>
      <c r="I21" s="2"/>
      <c r="J21" s="4"/>
    </row>
    <row r="22" spans="1:10" ht="54" customHeight="1">
      <c r="A22" s="6">
        <v>21</v>
      </c>
      <c r="B22" s="7" t="s">
        <v>91</v>
      </c>
      <c r="C22" s="7" t="s">
        <v>92</v>
      </c>
      <c r="D22" s="7" t="s">
        <v>95</v>
      </c>
      <c r="E22" s="7" t="s">
        <v>96</v>
      </c>
      <c r="F22" s="6"/>
      <c r="G22" s="7"/>
      <c r="H22" s="7"/>
      <c r="I22" s="7"/>
      <c r="J22" s="6"/>
    </row>
    <row r="23" spans="1:10" ht="54" customHeight="1">
      <c r="A23" s="4">
        <v>22</v>
      </c>
      <c r="B23" s="2" t="s">
        <v>97</v>
      </c>
      <c r="C23" s="2" t="s">
        <v>98</v>
      </c>
      <c r="D23" s="2" t="s">
        <v>99</v>
      </c>
      <c r="E23" s="2" t="s">
        <v>100</v>
      </c>
      <c r="F23" s="4"/>
      <c r="G23" s="2"/>
      <c r="H23" s="2"/>
      <c r="I23" s="2"/>
      <c r="J23" s="4"/>
    </row>
    <row r="24" spans="1:10" ht="54" customHeight="1">
      <c r="A24" s="6">
        <v>23</v>
      </c>
      <c r="B24" s="7" t="s">
        <v>83</v>
      </c>
      <c r="C24" s="7" t="s">
        <v>101</v>
      </c>
      <c r="D24" s="7" t="s">
        <v>102</v>
      </c>
      <c r="E24" s="7" t="s">
        <v>103</v>
      </c>
      <c r="F24" s="6"/>
      <c r="G24" s="7"/>
      <c r="H24" s="7"/>
      <c r="I24" s="7"/>
      <c r="J24" s="6"/>
    </row>
    <row r="25" spans="1:10" ht="54" customHeight="1">
      <c r="A25" s="4">
        <v>24</v>
      </c>
      <c r="B25" s="2" t="s">
        <v>83</v>
      </c>
      <c r="C25" s="2" t="s">
        <v>101</v>
      </c>
      <c r="D25" s="2" t="s">
        <v>104</v>
      </c>
      <c r="E25" s="2" t="s">
        <v>105</v>
      </c>
      <c r="F25" s="4"/>
      <c r="G25" s="2"/>
      <c r="H25" s="2"/>
      <c r="I25" s="2"/>
      <c r="J25" s="4"/>
    </row>
    <row r="26" spans="1:10" ht="54" customHeight="1">
      <c r="A26" s="6">
        <v>25</v>
      </c>
      <c r="B26" s="7" t="s">
        <v>106</v>
      </c>
      <c r="C26" s="7" t="s">
        <v>107</v>
      </c>
      <c r="D26" s="7" t="s">
        <v>108</v>
      </c>
      <c r="E26" s="7" t="s">
        <v>109</v>
      </c>
      <c r="F26" s="6"/>
      <c r="G26" s="7"/>
      <c r="H26" s="7"/>
      <c r="I26" s="7"/>
      <c r="J26" s="6"/>
    </row>
    <row r="27" spans="1:10" ht="54" customHeight="1">
      <c r="A27" s="4">
        <v>26</v>
      </c>
      <c r="B27" s="2" t="s">
        <v>106</v>
      </c>
      <c r="C27" s="2" t="s">
        <v>107</v>
      </c>
      <c r="D27" s="2" t="s">
        <v>110</v>
      </c>
      <c r="E27" s="2" t="s">
        <v>111</v>
      </c>
      <c r="F27" s="4"/>
      <c r="G27" s="2"/>
      <c r="H27" s="2"/>
      <c r="I27" s="2"/>
      <c r="J27" s="4"/>
    </row>
    <row r="28" spans="1:10" ht="54" customHeight="1">
      <c r="A28" s="6">
        <v>27</v>
      </c>
      <c r="B28" s="7" t="s">
        <v>112</v>
      </c>
      <c r="C28" s="7" t="s">
        <v>113</v>
      </c>
      <c r="D28" s="7" t="s">
        <v>114</v>
      </c>
      <c r="E28" s="7" t="s">
        <v>115</v>
      </c>
      <c r="F28" s="6"/>
      <c r="G28" s="7"/>
      <c r="H28" s="7"/>
      <c r="I28" s="7"/>
      <c r="J28" s="6"/>
    </row>
    <row r="29" spans="1:10" ht="54" customHeight="1">
      <c r="A29" s="4">
        <v>28</v>
      </c>
      <c r="B29" s="2" t="s">
        <v>112</v>
      </c>
      <c r="C29" s="2" t="s">
        <v>116</v>
      </c>
      <c r="D29" s="2" t="s">
        <v>117</v>
      </c>
      <c r="E29" s="2" t="s">
        <v>118</v>
      </c>
      <c r="F29" s="4"/>
      <c r="G29" s="2"/>
      <c r="H29" s="2"/>
      <c r="I29" s="2"/>
      <c r="J29" s="4"/>
    </row>
    <row r="30" spans="1:10" ht="54" customHeight="1">
      <c r="A30" s="6">
        <v>29</v>
      </c>
      <c r="B30" s="7" t="s">
        <v>119</v>
      </c>
      <c r="C30" s="7" t="s">
        <v>120</v>
      </c>
      <c r="D30" s="7" t="s">
        <v>121</v>
      </c>
      <c r="E30" s="7" t="s">
        <v>122</v>
      </c>
      <c r="F30" s="6"/>
      <c r="G30" s="7"/>
      <c r="H30" s="7"/>
      <c r="I30" s="7"/>
      <c r="J30" s="6"/>
    </row>
    <row r="31" spans="1:10" ht="54" customHeight="1">
      <c r="A31" s="4">
        <v>30</v>
      </c>
      <c r="B31" s="2" t="s">
        <v>123</v>
      </c>
      <c r="C31" s="2" t="s">
        <v>124</v>
      </c>
      <c r="D31" s="2" t="s">
        <v>125</v>
      </c>
      <c r="E31" s="2" t="s">
        <v>126</v>
      </c>
      <c r="F31" s="4"/>
      <c r="G31" s="2"/>
      <c r="H31" s="2"/>
      <c r="I31" s="2"/>
      <c r="J31" s="4"/>
    </row>
    <row r="32" spans="1:10" ht="54" customHeight="1">
      <c r="A32" s="6">
        <v>31</v>
      </c>
      <c r="B32" s="7" t="s">
        <v>127</v>
      </c>
      <c r="C32" s="7" t="s">
        <v>128</v>
      </c>
      <c r="D32" s="7" t="s">
        <v>129</v>
      </c>
      <c r="E32" s="7" t="s">
        <v>130</v>
      </c>
      <c r="F32" s="6"/>
      <c r="G32" s="7"/>
      <c r="H32" s="7"/>
      <c r="I32" s="7"/>
      <c r="J32" s="6"/>
    </row>
    <row r="33" spans="1:10" ht="54" customHeight="1">
      <c r="A33" s="4">
        <v>32</v>
      </c>
      <c r="B33" s="2" t="s">
        <v>131</v>
      </c>
      <c r="C33" s="2" t="s">
        <v>128</v>
      </c>
      <c r="D33" s="2" t="s">
        <v>132</v>
      </c>
      <c r="E33" s="2" t="s">
        <v>133</v>
      </c>
      <c r="F33" s="4"/>
      <c r="G33" s="2"/>
      <c r="H33" s="2"/>
      <c r="I33" s="2"/>
      <c r="J33" s="4"/>
    </row>
    <row r="34" spans="1:10" ht="54" customHeight="1">
      <c r="A34" s="6">
        <v>33</v>
      </c>
      <c r="B34" s="7" t="s">
        <v>134</v>
      </c>
      <c r="C34" s="7" t="s">
        <v>128</v>
      </c>
      <c r="D34" s="7" t="s">
        <v>135</v>
      </c>
      <c r="E34" s="7" t="s">
        <v>136</v>
      </c>
      <c r="F34" s="6"/>
      <c r="G34" s="7"/>
      <c r="H34" s="7"/>
      <c r="I34" s="7"/>
      <c r="J34" s="6"/>
    </row>
    <row r="35" spans="1:10" ht="54" customHeight="1">
      <c r="A35" s="4">
        <v>34</v>
      </c>
      <c r="B35" s="2" t="s">
        <v>137</v>
      </c>
      <c r="C35" s="2" t="s">
        <v>138</v>
      </c>
      <c r="D35" s="2" t="s">
        <v>139</v>
      </c>
      <c r="E35" s="2" t="s">
        <v>140</v>
      </c>
      <c r="F35" s="4"/>
      <c r="G35" s="2"/>
      <c r="H35" s="2"/>
      <c r="I35" s="2"/>
      <c r="J35" s="4"/>
    </row>
    <row r="36" spans="1:10" ht="54" customHeight="1">
      <c r="A36" s="6">
        <v>35</v>
      </c>
      <c r="B36" s="7" t="s">
        <v>141</v>
      </c>
      <c r="C36" s="7" t="s">
        <v>142</v>
      </c>
      <c r="D36" s="7" t="s">
        <v>143</v>
      </c>
      <c r="E36" s="7" t="s">
        <v>144</v>
      </c>
      <c r="F36" s="6"/>
      <c r="G36" s="7"/>
      <c r="H36" s="7"/>
      <c r="I36" s="7"/>
      <c r="J36" s="6"/>
    </row>
    <row r="37" spans="1:10" ht="54" customHeight="1">
      <c r="A37" s="4">
        <v>36</v>
      </c>
      <c r="B37" s="2" t="s">
        <v>145</v>
      </c>
      <c r="C37" s="2" t="s">
        <v>146</v>
      </c>
      <c r="D37" s="2" t="s">
        <v>147</v>
      </c>
      <c r="E37" s="2" t="s">
        <v>148</v>
      </c>
      <c r="F37" s="4"/>
      <c r="G37" s="2"/>
      <c r="H37" s="2"/>
      <c r="I37" s="2"/>
      <c r="J37" s="4"/>
    </row>
    <row r="38" spans="1:10" ht="54" customHeight="1">
      <c r="A38" s="6">
        <v>37</v>
      </c>
      <c r="B38" s="7" t="s">
        <v>149</v>
      </c>
      <c r="C38" s="7" t="s">
        <v>150</v>
      </c>
      <c r="D38" s="7" t="s">
        <v>151</v>
      </c>
      <c r="E38" s="7" t="s">
        <v>152</v>
      </c>
      <c r="F38" s="6"/>
      <c r="G38" s="7"/>
      <c r="H38" s="7"/>
      <c r="I38" s="7"/>
      <c r="J38" s="6"/>
    </row>
    <row r="39" spans="1:10" ht="54" customHeight="1">
      <c r="A39" s="4">
        <v>38</v>
      </c>
      <c r="B39" s="2" t="s">
        <v>153</v>
      </c>
      <c r="C39" s="2" t="s">
        <v>154</v>
      </c>
      <c r="D39" s="2" t="s">
        <v>155</v>
      </c>
      <c r="E39" s="2" t="s">
        <v>156</v>
      </c>
      <c r="F39" s="4"/>
      <c r="G39" s="2"/>
      <c r="H39" s="2"/>
      <c r="I39" s="2"/>
      <c r="J39" s="4"/>
    </row>
    <row r="40" spans="1:10" ht="54" customHeight="1">
      <c r="A40" s="6">
        <v>39</v>
      </c>
      <c r="B40" s="7" t="s">
        <v>157</v>
      </c>
      <c r="C40" s="7" t="s">
        <v>158</v>
      </c>
      <c r="D40" s="7" t="s">
        <v>159</v>
      </c>
      <c r="E40" s="7" t="s">
        <v>160</v>
      </c>
      <c r="F40" s="6"/>
      <c r="G40" s="7"/>
      <c r="H40" s="7"/>
      <c r="I40" s="7"/>
      <c r="J40" s="6"/>
    </row>
    <row r="41" spans="1:10" ht="54" customHeight="1">
      <c r="A41" s="4">
        <v>40</v>
      </c>
      <c r="B41" s="2" t="s">
        <v>161</v>
      </c>
      <c r="C41" s="2" t="s">
        <v>162</v>
      </c>
      <c r="D41" s="2" t="s">
        <v>163</v>
      </c>
      <c r="E41" s="2" t="s">
        <v>164</v>
      </c>
      <c r="F41" s="4"/>
      <c r="G41" s="2"/>
      <c r="H41" s="2"/>
      <c r="I41" s="2"/>
      <c r="J41" s="4"/>
    </row>
    <row r="42" spans="1:10" ht="54" customHeight="1">
      <c r="A42" s="6">
        <v>41</v>
      </c>
      <c r="B42" s="7" t="s">
        <v>165</v>
      </c>
      <c r="C42" s="7" t="s">
        <v>166</v>
      </c>
      <c r="D42" s="7" t="s">
        <v>167</v>
      </c>
      <c r="E42" s="7" t="s">
        <v>168</v>
      </c>
      <c r="F42" s="6"/>
      <c r="G42" s="7"/>
      <c r="H42" s="7"/>
      <c r="I42" s="7"/>
      <c r="J42" s="6"/>
    </row>
    <row r="43" spans="1:10" ht="54" customHeight="1">
      <c r="A43" s="4">
        <v>42</v>
      </c>
      <c r="B43" s="2" t="s">
        <v>169</v>
      </c>
      <c r="C43" s="2" t="s">
        <v>162</v>
      </c>
      <c r="D43" s="2" t="s">
        <v>170</v>
      </c>
      <c r="E43" s="2" t="s">
        <v>171</v>
      </c>
      <c r="F43" s="4"/>
      <c r="G43" s="2"/>
      <c r="H43" s="2"/>
      <c r="I43" s="2"/>
      <c r="J43" s="4"/>
    </row>
  </sheetData>
  <autoFilter ref="A1:J43" xr:uid="{00000000-0009-0000-0000-000001000000}"/>
  <dataValidations count="1">
    <dataValidation type="list" allowBlank="1" error="請從下拉選單選擇" prompt="請選擇查核結果" sqref="F2:F43" xr:uid="{00000000-0002-0000-0100-000000000000}">
      <formula1>"合規,部分合規,不合規,不適用"</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workbookViewId="0">
      <pane ySplit="1" topLeftCell="A2" activePane="bottomLeft" state="frozen"/>
      <selection pane="bottomLeft"/>
    </sheetView>
  </sheetViews>
  <sheetFormatPr defaultRowHeight="15"/>
  <cols>
    <col min="1" max="1" width="6" customWidth="1"/>
    <col min="2" max="2" width="48" customWidth="1"/>
    <col min="3" max="3" width="14" customWidth="1"/>
    <col min="4" max="5" width="18" customWidth="1"/>
    <col min="6" max="6" width="28" customWidth="1"/>
  </cols>
  <sheetData>
    <row r="1" spans="1:6" ht="30" customHeight="1">
      <c r="A1" s="5" t="s">
        <v>20</v>
      </c>
      <c r="B1" s="5" t="s">
        <v>172</v>
      </c>
      <c r="C1" s="5" t="s">
        <v>173</v>
      </c>
      <c r="D1" s="5" t="s">
        <v>174</v>
      </c>
      <c r="E1" s="5" t="s">
        <v>175</v>
      </c>
      <c r="F1" s="5" t="s">
        <v>176</v>
      </c>
    </row>
    <row r="2" spans="1:6" ht="26.1" customHeight="1">
      <c r="A2" s="6">
        <v>1</v>
      </c>
      <c r="B2" s="7" t="s">
        <v>177</v>
      </c>
      <c r="C2" s="6"/>
      <c r="D2" s="6"/>
      <c r="E2" s="7"/>
      <c r="F2" s="7"/>
    </row>
    <row r="3" spans="1:6" ht="26.1" customHeight="1">
      <c r="A3" s="4">
        <v>2</v>
      </c>
      <c r="B3" s="2" t="s">
        <v>178</v>
      </c>
      <c r="C3" s="4"/>
      <c r="D3" s="4"/>
      <c r="E3" s="2"/>
      <c r="F3" s="2"/>
    </row>
    <row r="4" spans="1:6" ht="26.1" customHeight="1">
      <c r="A4" s="6">
        <v>3</v>
      </c>
      <c r="B4" s="7" t="s">
        <v>179</v>
      </c>
      <c r="C4" s="6"/>
      <c r="D4" s="6"/>
      <c r="E4" s="7"/>
      <c r="F4" s="7"/>
    </row>
    <row r="5" spans="1:6" ht="26.1" customHeight="1">
      <c r="A5" s="4">
        <v>4</v>
      </c>
      <c r="B5" s="2" t="s">
        <v>180</v>
      </c>
      <c r="C5" s="4"/>
      <c r="D5" s="4"/>
      <c r="E5" s="2"/>
      <c r="F5" s="2"/>
    </row>
    <row r="6" spans="1:6" ht="26.1" customHeight="1">
      <c r="A6" s="6">
        <v>5</v>
      </c>
      <c r="B6" s="7" t="s">
        <v>181</v>
      </c>
      <c r="C6" s="6"/>
      <c r="D6" s="6"/>
      <c r="E6" s="7"/>
      <c r="F6" s="7"/>
    </row>
    <row r="7" spans="1:6" ht="26.1" customHeight="1">
      <c r="A7" s="4">
        <v>6</v>
      </c>
      <c r="B7" s="2" t="s">
        <v>182</v>
      </c>
      <c r="C7" s="4"/>
      <c r="D7" s="4"/>
      <c r="E7" s="2"/>
      <c r="F7" s="2"/>
    </row>
    <row r="8" spans="1:6" ht="26.1" customHeight="1">
      <c r="A8" s="6">
        <v>7</v>
      </c>
      <c r="B8" s="7" t="s">
        <v>183</v>
      </c>
      <c r="C8" s="6"/>
      <c r="D8" s="6"/>
      <c r="E8" s="7"/>
      <c r="F8" s="7"/>
    </row>
    <row r="9" spans="1:6" ht="26.1" customHeight="1">
      <c r="A9" s="4">
        <v>8</v>
      </c>
      <c r="B9" s="2" t="s">
        <v>184</v>
      </c>
      <c r="C9" s="4"/>
      <c r="D9" s="4"/>
      <c r="E9" s="2"/>
      <c r="F9" s="2"/>
    </row>
    <row r="10" spans="1:6" ht="26.1" customHeight="1">
      <c r="A10" s="6">
        <v>9</v>
      </c>
      <c r="B10" s="7" t="s">
        <v>185</v>
      </c>
      <c r="C10" s="6"/>
      <c r="D10" s="6"/>
      <c r="E10" s="7"/>
      <c r="F10" s="7"/>
    </row>
    <row r="11" spans="1:6" ht="26.1" customHeight="1">
      <c r="A11" s="4">
        <v>10</v>
      </c>
      <c r="B11" s="2" t="s">
        <v>186</v>
      </c>
      <c r="C11" s="4"/>
      <c r="D11" s="4"/>
      <c r="E11" s="2"/>
      <c r="F11" s="2"/>
    </row>
    <row r="12" spans="1:6" ht="26.1" customHeight="1">
      <c r="A12" s="6">
        <v>11</v>
      </c>
      <c r="B12" s="7" t="s">
        <v>187</v>
      </c>
      <c r="C12" s="6"/>
      <c r="D12" s="6"/>
      <c r="E12" s="7"/>
      <c r="F12" s="7"/>
    </row>
    <row r="13" spans="1:6" ht="26.1" customHeight="1">
      <c r="A13" s="4">
        <v>12</v>
      </c>
      <c r="B13" s="2" t="s">
        <v>188</v>
      </c>
      <c r="C13" s="4"/>
      <c r="D13" s="4"/>
      <c r="E13" s="2"/>
      <c r="F13" s="2"/>
    </row>
    <row r="14" spans="1:6" ht="26.1" customHeight="1">
      <c r="A14" s="6">
        <v>13</v>
      </c>
      <c r="B14" s="7" t="s">
        <v>189</v>
      </c>
      <c r="C14" s="6"/>
      <c r="D14" s="6"/>
      <c r="E14" s="7"/>
      <c r="F14" s="7"/>
    </row>
    <row r="15" spans="1:6" ht="26.1" customHeight="1">
      <c r="A15" s="4">
        <v>14</v>
      </c>
      <c r="B15" s="2" t="s">
        <v>190</v>
      </c>
      <c r="C15" s="4"/>
      <c r="D15" s="4"/>
      <c r="E15" s="2"/>
      <c r="F15" s="2"/>
    </row>
    <row r="16" spans="1:6" ht="26.1" customHeight="1">
      <c r="A16" s="6">
        <v>15</v>
      </c>
      <c r="B16" s="7" t="s">
        <v>191</v>
      </c>
      <c r="C16" s="6"/>
      <c r="D16" s="6"/>
      <c r="E16" s="7"/>
      <c r="F16" s="7"/>
    </row>
    <row r="17" spans="1:6" ht="26.1" customHeight="1">
      <c r="A17" s="4">
        <v>16</v>
      </c>
      <c r="B17" s="2" t="s">
        <v>192</v>
      </c>
      <c r="C17" s="4"/>
      <c r="D17" s="4"/>
      <c r="E17" s="2"/>
      <c r="F17" s="2"/>
    </row>
  </sheetData>
  <autoFilter ref="A1:F17" xr:uid="{00000000-0009-0000-0000-000002000000}"/>
  <dataValidations count="1">
    <dataValidation type="list" allowBlank="1" sqref="C2:C17" xr:uid="{00000000-0002-0000-0200-000000000000}">
      <formula1>"是,否,修訂中"</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3"/>
  <sheetViews>
    <sheetView workbookViewId="0">
      <pane ySplit="1" topLeftCell="A2" activePane="bottomLeft" state="frozen"/>
      <selection pane="bottomLeft"/>
    </sheetView>
  </sheetViews>
  <sheetFormatPr defaultRowHeight="15"/>
  <cols>
    <col min="1" max="1" width="6" customWidth="1"/>
    <col min="2" max="3" width="22" customWidth="1"/>
    <col min="4" max="4" width="42" customWidth="1"/>
    <col min="5" max="5" width="16" customWidth="1"/>
    <col min="6" max="6" width="14" customWidth="1"/>
    <col min="7" max="7" width="24" customWidth="1"/>
  </cols>
  <sheetData>
    <row r="1" spans="1:7" ht="30" customHeight="1">
      <c r="A1" s="5" t="s">
        <v>20</v>
      </c>
      <c r="B1" s="5" t="s">
        <v>193</v>
      </c>
      <c r="C1" s="5" t="s">
        <v>194</v>
      </c>
      <c r="D1" s="5" t="s">
        <v>195</v>
      </c>
      <c r="E1" s="5" t="s">
        <v>196</v>
      </c>
      <c r="F1" s="5" t="s">
        <v>197</v>
      </c>
      <c r="G1" s="5" t="s">
        <v>176</v>
      </c>
    </row>
    <row r="2" spans="1:7" ht="30" customHeight="1">
      <c r="A2" s="6">
        <v>1</v>
      </c>
      <c r="B2" s="7" t="s">
        <v>75</v>
      </c>
      <c r="C2" s="7" t="s">
        <v>198</v>
      </c>
      <c r="D2" s="7" t="s">
        <v>199</v>
      </c>
      <c r="E2" s="6"/>
      <c r="F2" s="6"/>
      <c r="G2" s="7"/>
    </row>
    <row r="3" spans="1:7" ht="30" customHeight="1">
      <c r="A3" s="4">
        <v>2</v>
      </c>
      <c r="B3" s="2" t="s">
        <v>200</v>
      </c>
      <c r="C3" s="2" t="s">
        <v>201</v>
      </c>
      <c r="D3" s="2" t="s">
        <v>202</v>
      </c>
      <c r="E3" s="4"/>
      <c r="F3" s="4"/>
      <c r="G3" s="2"/>
    </row>
    <row r="4" spans="1:7" ht="30" customHeight="1">
      <c r="A4" s="6">
        <v>3</v>
      </c>
      <c r="B4" s="7" t="s">
        <v>203</v>
      </c>
      <c r="C4" s="7" t="s">
        <v>204</v>
      </c>
      <c r="D4" s="7" t="s">
        <v>205</v>
      </c>
      <c r="E4" s="6"/>
      <c r="F4" s="6"/>
      <c r="G4" s="7"/>
    </row>
    <row r="5" spans="1:7" ht="30" customHeight="1">
      <c r="A5" s="4">
        <v>4</v>
      </c>
      <c r="B5" s="2" t="s">
        <v>206</v>
      </c>
      <c r="C5" s="2" t="s">
        <v>207</v>
      </c>
      <c r="D5" s="2" t="s">
        <v>208</v>
      </c>
      <c r="E5" s="4"/>
      <c r="F5" s="4"/>
      <c r="G5" s="2"/>
    </row>
    <row r="6" spans="1:7" ht="30" customHeight="1">
      <c r="A6" s="6">
        <v>5</v>
      </c>
      <c r="B6" s="7" t="s">
        <v>209</v>
      </c>
      <c r="C6" s="7" t="s">
        <v>210</v>
      </c>
      <c r="D6" s="7" t="s">
        <v>211</v>
      </c>
      <c r="E6" s="6"/>
      <c r="F6" s="6"/>
      <c r="G6" s="7"/>
    </row>
    <row r="7" spans="1:7" ht="30" customHeight="1">
      <c r="A7" s="4">
        <v>6</v>
      </c>
      <c r="B7" s="2" t="s">
        <v>212</v>
      </c>
      <c r="C7" s="2" t="s">
        <v>213</v>
      </c>
      <c r="D7" s="2" t="s">
        <v>214</v>
      </c>
      <c r="E7" s="4"/>
      <c r="F7" s="4"/>
      <c r="G7" s="2"/>
    </row>
    <row r="8" spans="1:7" ht="30" customHeight="1">
      <c r="A8" s="6">
        <v>7</v>
      </c>
      <c r="B8" s="7" t="s">
        <v>215</v>
      </c>
      <c r="C8" s="7" t="s">
        <v>216</v>
      </c>
      <c r="D8" s="7" t="s">
        <v>217</v>
      </c>
      <c r="E8" s="6"/>
      <c r="F8" s="6"/>
      <c r="G8" s="7"/>
    </row>
    <row r="9" spans="1:7" ht="30" customHeight="1">
      <c r="A9" s="4">
        <v>8</v>
      </c>
      <c r="B9" s="2" t="s">
        <v>218</v>
      </c>
      <c r="C9" s="2" t="s">
        <v>219</v>
      </c>
      <c r="D9" s="2" t="s">
        <v>220</v>
      </c>
      <c r="E9" s="4"/>
      <c r="F9" s="4"/>
      <c r="G9" s="2"/>
    </row>
    <row r="10" spans="1:7" ht="30" customHeight="1">
      <c r="A10" s="6">
        <v>9</v>
      </c>
      <c r="B10" s="7" t="s">
        <v>221</v>
      </c>
      <c r="C10" s="7" t="s">
        <v>222</v>
      </c>
      <c r="D10" s="7" t="s">
        <v>223</v>
      </c>
      <c r="E10" s="6"/>
      <c r="F10" s="6"/>
      <c r="G10" s="7"/>
    </row>
    <row r="11" spans="1:7" ht="30" customHeight="1">
      <c r="A11" s="4">
        <v>10</v>
      </c>
      <c r="B11" s="2" t="s">
        <v>224</v>
      </c>
      <c r="C11" s="2" t="s">
        <v>225</v>
      </c>
      <c r="D11" s="2" t="s">
        <v>214</v>
      </c>
      <c r="E11" s="4"/>
      <c r="F11" s="4"/>
      <c r="G11" s="2"/>
    </row>
    <row r="12" spans="1:7" ht="30" customHeight="1">
      <c r="A12" s="6">
        <v>11</v>
      </c>
      <c r="B12" s="7" t="s">
        <v>141</v>
      </c>
      <c r="C12" s="7" t="s">
        <v>226</v>
      </c>
      <c r="D12" s="7" t="s">
        <v>143</v>
      </c>
      <c r="E12" s="6"/>
      <c r="F12" s="6"/>
      <c r="G12" s="7"/>
    </row>
    <row r="13" spans="1:7" ht="30" customHeight="1">
      <c r="A13" s="4">
        <v>12</v>
      </c>
      <c r="B13" s="2" t="s">
        <v>149</v>
      </c>
      <c r="C13" s="2" t="s">
        <v>227</v>
      </c>
      <c r="D13" s="2" t="s">
        <v>151</v>
      </c>
      <c r="E13" s="4"/>
      <c r="F13" s="4"/>
      <c r="G13" s="2"/>
    </row>
  </sheetData>
  <autoFilter ref="A1:G13" xr:uid="{00000000-0009-0000-0000-000003000000}"/>
  <dataValidations count="1">
    <dataValidation type="list" allowBlank="1" sqref="F2:F13" xr:uid="{00000000-0002-0000-0300-000000000000}">
      <formula1>"符合,不符合,進行中,不適用"</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4"/>
  <sheetViews>
    <sheetView workbookViewId="0">
      <pane ySplit="1" topLeftCell="A2" activePane="bottomLeft" state="frozen"/>
      <selection pane="bottomLeft"/>
    </sheetView>
  </sheetViews>
  <sheetFormatPr defaultRowHeight="15"/>
  <cols>
    <col min="1" max="1" width="6" customWidth="1"/>
    <col min="2" max="2" width="14" customWidth="1"/>
    <col min="3" max="3" width="34" customWidth="1"/>
    <col min="4" max="4" width="12" customWidth="1"/>
    <col min="5" max="5" width="34" customWidth="1"/>
    <col min="6" max="6" width="18" customWidth="1"/>
    <col min="7" max="9" width="14" customWidth="1"/>
    <col min="10" max="10" width="12" customWidth="1"/>
  </cols>
  <sheetData>
    <row r="1" spans="1:10" ht="30" customHeight="1">
      <c r="A1" s="5" t="s">
        <v>20</v>
      </c>
      <c r="B1" s="5" t="s">
        <v>228</v>
      </c>
      <c r="C1" s="5" t="s">
        <v>26</v>
      </c>
      <c r="D1" s="5" t="s">
        <v>229</v>
      </c>
      <c r="E1" s="5" t="s">
        <v>230</v>
      </c>
      <c r="F1" s="5" t="s">
        <v>231</v>
      </c>
      <c r="G1" s="5" t="s">
        <v>28</v>
      </c>
      <c r="H1" s="5" t="s">
        <v>196</v>
      </c>
      <c r="I1" s="5" t="s">
        <v>232</v>
      </c>
      <c r="J1" s="5" t="s">
        <v>233</v>
      </c>
    </row>
    <row r="2" spans="1:10" ht="36" customHeight="1">
      <c r="A2" s="6">
        <v>1</v>
      </c>
      <c r="B2" s="6"/>
      <c r="C2" s="7" t="s">
        <v>234</v>
      </c>
      <c r="D2" s="6" t="s">
        <v>235</v>
      </c>
      <c r="E2" s="7" t="s">
        <v>236</v>
      </c>
      <c r="F2" s="7" t="s">
        <v>237</v>
      </c>
      <c r="G2" s="6"/>
      <c r="H2" s="6"/>
      <c r="I2" s="6"/>
      <c r="J2" s="6"/>
    </row>
    <row r="3" spans="1:10" ht="36" customHeight="1">
      <c r="A3" s="4">
        <v>2</v>
      </c>
      <c r="B3" s="4"/>
      <c r="C3" s="2" t="s">
        <v>238</v>
      </c>
      <c r="D3" s="4" t="s">
        <v>239</v>
      </c>
      <c r="E3" s="2" t="s">
        <v>240</v>
      </c>
      <c r="F3" s="2" t="s">
        <v>241</v>
      </c>
      <c r="G3" s="4"/>
      <c r="H3" s="4"/>
      <c r="I3" s="4"/>
      <c r="J3" s="4"/>
    </row>
    <row r="4" spans="1:10" ht="36" customHeight="1">
      <c r="A4" s="6">
        <v>3</v>
      </c>
      <c r="B4" s="6"/>
      <c r="C4" s="7" t="s">
        <v>242</v>
      </c>
      <c r="D4" s="6" t="s">
        <v>239</v>
      </c>
      <c r="E4" s="7" t="s">
        <v>243</v>
      </c>
      <c r="F4" s="7" t="s">
        <v>244</v>
      </c>
      <c r="G4" s="6"/>
      <c r="H4" s="6"/>
      <c r="I4" s="6"/>
      <c r="J4" s="6"/>
    </row>
    <row r="5" spans="1:10" ht="30" customHeight="1">
      <c r="A5" s="4">
        <v>4</v>
      </c>
      <c r="B5" s="4"/>
      <c r="C5" s="2"/>
      <c r="D5" s="4"/>
      <c r="E5" s="2"/>
      <c r="F5" s="2"/>
      <c r="G5" s="4"/>
      <c r="H5" s="4"/>
      <c r="I5" s="4"/>
      <c r="J5" s="4"/>
    </row>
    <row r="6" spans="1:10" ht="30" customHeight="1">
      <c r="A6" s="6">
        <v>5</v>
      </c>
      <c r="B6" s="6"/>
      <c r="C6" s="7"/>
      <c r="D6" s="6"/>
      <c r="E6" s="7"/>
      <c r="F6" s="7"/>
      <c r="G6" s="6"/>
      <c r="H6" s="6"/>
      <c r="I6" s="6"/>
      <c r="J6" s="6"/>
    </row>
    <row r="7" spans="1:10" ht="30" customHeight="1">
      <c r="A7" s="4">
        <v>6</v>
      </c>
      <c r="B7" s="4"/>
      <c r="C7" s="2"/>
      <c r="D7" s="4"/>
      <c r="E7" s="2"/>
      <c r="F7" s="2"/>
      <c r="G7" s="4"/>
      <c r="H7" s="4"/>
      <c r="I7" s="4"/>
      <c r="J7" s="4"/>
    </row>
    <row r="8" spans="1:10" ht="30" customHeight="1">
      <c r="A8" s="6">
        <v>7</v>
      </c>
      <c r="B8" s="6"/>
      <c r="C8" s="7"/>
      <c r="D8" s="6"/>
      <c r="E8" s="7"/>
      <c r="F8" s="7"/>
      <c r="G8" s="6"/>
      <c r="H8" s="6"/>
      <c r="I8" s="6"/>
      <c r="J8" s="6"/>
    </row>
    <row r="9" spans="1:10" ht="30" customHeight="1">
      <c r="A9" s="4">
        <v>8</v>
      </c>
      <c r="B9" s="4"/>
      <c r="C9" s="2"/>
      <c r="D9" s="4"/>
      <c r="E9" s="2"/>
      <c r="F9" s="2"/>
      <c r="G9" s="4"/>
      <c r="H9" s="4"/>
      <c r="I9" s="4"/>
      <c r="J9" s="4"/>
    </row>
    <row r="10" spans="1:10" ht="30" customHeight="1">
      <c r="A10" s="6">
        <v>9</v>
      </c>
      <c r="B10" s="6"/>
      <c r="C10" s="7"/>
      <c r="D10" s="6"/>
      <c r="E10" s="7"/>
      <c r="F10" s="7"/>
      <c r="G10" s="6"/>
      <c r="H10" s="6"/>
      <c r="I10" s="6"/>
      <c r="J10" s="6"/>
    </row>
    <row r="11" spans="1:10" ht="30" customHeight="1">
      <c r="A11" s="4">
        <v>10</v>
      </c>
      <c r="B11" s="4"/>
      <c r="C11" s="2"/>
      <c r="D11" s="4"/>
      <c r="E11" s="2"/>
      <c r="F11" s="2"/>
      <c r="G11" s="4"/>
      <c r="H11" s="4"/>
      <c r="I11" s="4"/>
      <c r="J11" s="4"/>
    </row>
    <row r="12" spans="1:10" ht="30" customHeight="1">
      <c r="A12" s="6">
        <v>11</v>
      </c>
      <c r="B12" s="6"/>
      <c r="C12" s="7"/>
      <c r="D12" s="6"/>
      <c r="E12" s="7"/>
      <c r="F12" s="7"/>
      <c r="G12" s="6"/>
      <c r="H12" s="6"/>
      <c r="I12" s="6"/>
      <c r="J12" s="6"/>
    </row>
    <row r="13" spans="1:10" ht="30" customHeight="1">
      <c r="A13" s="4">
        <v>12</v>
      </c>
      <c r="B13" s="4"/>
      <c r="C13" s="2"/>
      <c r="D13" s="4"/>
      <c r="E13" s="2"/>
      <c r="F13" s="2"/>
      <c r="G13" s="4"/>
      <c r="H13" s="4"/>
      <c r="I13" s="4"/>
      <c r="J13" s="4"/>
    </row>
    <row r="14" spans="1:10" ht="30" customHeight="1">
      <c r="A14" s="6">
        <v>13</v>
      </c>
      <c r="B14" s="6"/>
      <c r="C14" s="7"/>
      <c r="D14" s="6"/>
      <c r="E14" s="7"/>
      <c r="F14" s="7"/>
      <c r="G14" s="6"/>
      <c r="H14" s="6"/>
      <c r="I14" s="6"/>
      <c r="J14" s="6"/>
    </row>
  </sheetData>
  <autoFilter ref="A1:J14" xr:uid="{00000000-0009-0000-0000-000004000000}"/>
  <dataValidations count="2">
    <dataValidation type="list" allowBlank="1" sqref="D2:D200" xr:uid="{00000000-0002-0000-0400-000000000000}">
      <formula1>"高,中,低"</formula1>
    </dataValidation>
    <dataValidation type="list" allowBlank="1" sqref="I2:I200" xr:uid="{00000000-0002-0000-0400-000001000000}">
      <formula1>"未開始,進行中,已完成,已覆核"</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8"/>
  <sheetViews>
    <sheetView workbookViewId="0">
      <pane ySplit="10" topLeftCell="A11" activePane="bottomLeft" state="frozen"/>
      <selection pane="bottomLeft"/>
    </sheetView>
  </sheetViews>
  <sheetFormatPr defaultRowHeight="15"/>
  <cols>
    <col min="1" max="1" width="14" customWidth="1"/>
    <col min="2" max="2" width="6" customWidth="1"/>
    <col min="3" max="3" width="50" customWidth="1"/>
    <col min="4" max="4" width="20" customWidth="1"/>
    <col min="5" max="5" width="22" customWidth="1"/>
    <col min="6" max="6" width="32" customWidth="1"/>
    <col min="7" max="8" width="14" customWidth="1"/>
    <col min="9" max="9" width="18" customWidth="1"/>
    <col min="10" max="10" width="30" customWidth="1"/>
  </cols>
  <sheetData>
    <row r="1" spans="1:10" ht="27.95" customHeight="1">
      <c r="A1" s="27" t="s">
        <v>245</v>
      </c>
      <c r="B1" s="30"/>
      <c r="C1" s="30"/>
      <c r="D1" s="30"/>
      <c r="E1" s="30"/>
      <c r="F1" s="30"/>
      <c r="G1" s="30"/>
      <c r="H1" s="30"/>
      <c r="I1" s="30"/>
      <c r="J1" s="30"/>
    </row>
    <row r="2" spans="1:10" ht="20.100000000000001" customHeight="1">
      <c r="A2" s="29" t="s">
        <v>246</v>
      </c>
      <c r="B2" s="30"/>
      <c r="C2" s="30"/>
      <c r="D2" s="30"/>
      <c r="E2" s="30"/>
      <c r="F2" s="30"/>
      <c r="G2" s="30"/>
      <c r="H2" s="30"/>
      <c r="I2" s="30"/>
      <c r="J2" s="30"/>
    </row>
    <row r="4" spans="1:10" ht="21.95" customHeight="1">
      <c r="A4" s="8" t="s">
        <v>247</v>
      </c>
      <c r="B4" s="26"/>
      <c r="C4" s="33"/>
      <c r="D4" s="33"/>
      <c r="E4" s="33"/>
      <c r="F4" s="8" t="s">
        <v>248</v>
      </c>
      <c r="G4" s="26"/>
      <c r="H4" s="33"/>
      <c r="I4" s="33"/>
      <c r="J4" s="33"/>
    </row>
    <row r="5" spans="1:10" ht="21.95" customHeight="1">
      <c r="A5" s="8" t="s">
        <v>249</v>
      </c>
      <c r="B5" s="26"/>
      <c r="C5" s="33"/>
      <c r="D5" s="33"/>
      <c r="E5" s="33"/>
      <c r="F5" s="8" t="s">
        <v>250</v>
      </c>
      <c r="G5" s="26"/>
      <c r="H5" s="33"/>
      <c r="I5" s="33"/>
      <c r="J5" s="33"/>
    </row>
    <row r="6" spans="1:10" ht="21.95" customHeight="1">
      <c r="A6" s="8" t="s">
        <v>251</v>
      </c>
      <c r="B6" s="26"/>
      <c r="C6" s="33"/>
      <c r="D6" s="33"/>
      <c r="E6" s="33"/>
      <c r="F6" s="8" t="s">
        <v>252</v>
      </c>
      <c r="G6" s="26"/>
      <c r="H6" s="33"/>
      <c r="I6" s="33"/>
      <c r="J6" s="33"/>
    </row>
    <row r="7" spans="1:10" ht="21.95" customHeight="1">
      <c r="A7" s="8" t="s">
        <v>253</v>
      </c>
      <c r="B7" s="26"/>
      <c r="C7" s="33"/>
      <c r="D7" s="33"/>
      <c r="E7" s="33"/>
      <c r="F7" s="8" t="s">
        <v>254</v>
      </c>
      <c r="G7" s="26"/>
      <c r="H7" s="33"/>
      <c r="I7" s="33"/>
      <c r="J7" s="33"/>
    </row>
    <row r="8" spans="1:10" ht="21.95" customHeight="1">
      <c r="A8" s="8" t="s">
        <v>255</v>
      </c>
      <c r="B8" s="26"/>
      <c r="C8" s="33"/>
      <c r="D8" s="33"/>
      <c r="E8" s="33"/>
      <c r="F8" s="8" t="s">
        <v>256</v>
      </c>
      <c r="G8" s="26"/>
      <c r="H8" s="33"/>
      <c r="I8" s="33"/>
      <c r="J8" s="33"/>
    </row>
    <row r="10" spans="1:10" ht="30" customHeight="1">
      <c r="A10" s="10" t="s">
        <v>257</v>
      </c>
      <c r="B10" s="10" t="s">
        <v>258</v>
      </c>
      <c r="C10" s="10" t="s">
        <v>259</v>
      </c>
      <c r="D10" s="10" t="s">
        <v>195</v>
      </c>
      <c r="E10" s="10" t="s">
        <v>194</v>
      </c>
      <c r="F10" s="10" t="s">
        <v>260</v>
      </c>
      <c r="G10" s="10" t="s">
        <v>261</v>
      </c>
      <c r="H10" s="10" t="s">
        <v>262</v>
      </c>
      <c r="I10" s="10" t="s">
        <v>25</v>
      </c>
      <c r="J10" s="10" t="s">
        <v>176</v>
      </c>
    </row>
    <row r="11" spans="1:10" ht="36" customHeight="1">
      <c r="A11" s="11" t="s">
        <v>263</v>
      </c>
      <c r="B11" s="12">
        <v>1</v>
      </c>
      <c r="C11" s="9" t="s">
        <v>264</v>
      </c>
      <c r="D11" s="12" t="s">
        <v>265</v>
      </c>
      <c r="E11" s="9" t="s">
        <v>266</v>
      </c>
      <c r="F11" s="9" t="s">
        <v>267</v>
      </c>
      <c r="G11" s="12"/>
      <c r="H11" s="12" t="s">
        <v>268</v>
      </c>
      <c r="I11" s="9"/>
      <c r="J11" s="9"/>
    </row>
    <row r="12" spans="1:10" ht="36" customHeight="1">
      <c r="A12" s="11" t="s">
        <v>263</v>
      </c>
      <c r="B12" s="12">
        <v>2</v>
      </c>
      <c r="C12" s="9" t="s">
        <v>269</v>
      </c>
      <c r="D12" s="12" t="s">
        <v>265</v>
      </c>
      <c r="E12" s="9" t="s">
        <v>270</v>
      </c>
      <c r="F12" s="9" t="s">
        <v>271</v>
      </c>
      <c r="G12" s="12"/>
      <c r="H12" s="12" t="s">
        <v>268</v>
      </c>
      <c r="I12" s="9"/>
      <c r="J12" s="9"/>
    </row>
    <row r="13" spans="1:10" ht="36" customHeight="1">
      <c r="A13" s="11" t="s">
        <v>263</v>
      </c>
      <c r="B13" s="12">
        <v>3</v>
      </c>
      <c r="C13" s="9" t="s">
        <v>272</v>
      </c>
      <c r="D13" s="12" t="s">
        <v>265</v>
      </c>
      <c r="E13" s="9" t="s">
        <v>273</v>
      </c>
      <c r="F13" s="9" t="s">
        <v>274</v>
      </c>
      <c r="G13" s="12"/>
      <c r="H13" s="12" t="s">
        <v>268</v>
      </c>
      <c r="I13" s="9"/>
      <c r="J13" s="9"/>
    </row>
    <row r="14" spans="1:10" ht="36" customHeight="1">
      <c r="A14" s="13" t="s">
        <v>275</v>
      </c>
      <c r="B14" s="12">
        <v>4</v>
      </c>
      <c r="C14" s="9" t="s">
        <v>276</v>
      </c>
      <c r="D14" s="12" t="s">
        <v>277</v>
      </c>
      <c r="E14" s="9" t="s">
        <v>278</v>
      </c>
      <c r="F14" s="9" t="s">
        <v>279</v>
      </c>
      <c r="G14" s="12"/>
      <c r="H14" s="12" t="s">
        <v>268</v>
      </c>
      <c r="I14" s="9"/>
      <c r="J14" s="9"/>
    </row>
    <row r="15" spans="1:10" ht="36" customHeight="1">
      <c r="A15" s="13" t="s">
        <v>275</v>
      </c>
      <c r="B15" s="12">
        <v>5</v>
      </c>
      <c r="C15" s="9" t="s">
        <v>280</v>
      </c>
      <c r="D15" s="12" t="s">
        <v>281</v>
      </c>
      <c r="E15" s="9" t="s">
        <v>281</v>
      </c>
      <c r="F15" s="9" t="s">
        <v>282</v>
      </c>
      <c r="G15" s="12"/>
      <c r="H15" s="12" t="s">
        <v>268</v>
      </c>
      <c r="I15" s="9"/>
      <c r="J15" s="9"/>
    </row>
    <row r="16" spans="1:10" ht="36" customHeight="1">
      <c r="A16" s="13" t="s">
        <v>275</v>
      </c>
      <c r="B16" s="12">
        <v>6</v>
      </c>
      <c r="C16" s="9" t="s">
        <v>283</v>
      </c>
      <c r="D16" s="12" t="s">
        <v>284</v>
      </c>
      <c r="E16" s="9" t="s">
        <v>285</v>
      </c>
      <c r="F16" s="9" t="s">
        <v>286</v>
      </c>
      <c r="G16" s="12"/>
      <c r="H16" s="12" t="s">
        <v>268</v>
      </c>
      <c r="I16" s="9"/>
      <c r="J16" s="9"/>
    </row>
    <row r="17" spans="1:10" ht="36" customHeight="1">
      <c r="A17" s="14" t="s">
        <v>287</v>
      </c>
      <c r="B17" s="12">
        <v>7</v>
      </c>
      <c r="C17" s="9" t="s">
        <v>288</v>
      </c>
      <c r="D17" s="12" t="s">
        <v>289</v>
      </c>
      <c r="E17" s="9" t="s">
        <v>290</v>
      </c>
      <c r="F17" s="9" t="s">
        <v>291</v>
      </c>
      <c r="G17" s="12"/>
      <c r="H17" s="12" t="s">
        <v>268</v>
      </c>
      <c r="I17" s="9"/>
      <c r="J17" s="9"/>
    </row>
    <row r="18" spans="1:10" ht="36" customHeight="1">
      <c r="A18" s="14" t="s">
        <v>287</v>
      </c>
      <c r="B18" s="12">
        <v>8</v>
      </c>
      <c r="C18" s="9" t="s">
        <v>292</v>
      </c>
      <c r="D18" s="12" t="s">
        <v>289</v>
      </c>
      <c r="E18" s="9" t="s">
        <v>290</v>
      </c>
      <c r="F18" s="9" t="s">
        <v>293</v>
      </c>
      <c r="G18" s="12"/>
      <c r="H18" s="12" t="s">
        <v>268</v>
      </c>
      <c r="I18" s="9"/>
      <c r="J18" s="9"/>
    </row>
    <row r="19" spans="1:10" ht="36" customHeight="1">
      <c r="A19" s="14" t="s">
        <v>287</v>
      </c>
      <c r="B19" s="12">
        <v>9</v>
      </c>
      <c r="C19" s="9" t="s">
        <v>294</v>
      </c>
      <c r="D19" s="12" t="s">
        <v>295</v>
      </c>
      <c r="E19" s="9" t="s">
        <v>296</v>
      </c>
      <c r="F19" s="9" t="s">
        <v>297</v>
      </c>
      <c r="G19" s="12"/>
      <c r="H19" s="12" t="s">
        <v>268</v>
      </c>
      <c r="I19" s="9"/>
      <c r="J19" s="9"/>
    </row>
    <row r="20" spans="1:10" ht="36" customHeight="1">
      <c r="A20" s="15" t="s">
        <v>298</v>
      </c>
      <c r="B20" s="12">
        <v>10</v>
      </c>
      <c r="C20" s="9" t="s">
        <v>299</v>
      </c>
      <c r="D20" s="12" t="s">
        <v>300</v>
      </c>
      <c r="E20" s="9" t="s">
        <v>301</v>
      </c>
      <c r="F20" s="9" t="s">
        <v>302</v>
      </c>
      <c r="G20" s="12"/>
      <c r="H20" s="12" t="s">
        <v>268</v>
      </c>
      <c r="I20" s="9"/>
      <c r="J20" s="9"/>
    </row>
    <row r="21" spans="1:10" ht="36" customHeight="1">
      <c r="A21" s="15" t="s">
        <v>298</v>
      </c>
      <c r="B21" s="12">
        <v>11</v>
      </c>
      <c r="C21" s="9" t="s">
        <v>303</v>
      </c>
      <c r="D21" s="12" t="s">
        <v>300</v>
      </c>
      <c r="E21" s="9" t="s">
        <v>281</v>
      </c>
      <c r="F21" s="9" t="s">
        <v>304</v>
      </c>
      <c r="G21" s="12"/>
      <c r="H21" s="12" t="s">
        <v>268</v>
      </c>
      <c r="I21" s="9"/>
      <c r="J21" s="9"/>
    </row>
    <row r="22" spans="1:10" ht="36" customHeight="1">
      <c r="A22" s="15" t="s">
        <v>298</v>
      </c>
      <c r="B22" s="12">
        <v>12</v>
      </c>
      <c r="C22" s="9" t="s">
        <v>305</v>
      </c>
      <c r="D22" s="12" t="s">
        <v>306</v>
      </c>
      <c r="E22" s="9" t="s">
        <v>307</v>
      </c>
      <c r="F22" s="9" t="s">
        <v>308</v>
      </c>
      <c r="G22" s="12"/>
      <c r="H22" s="12" t="s">
        <v>268</v>
      </c>
      <c r="I22" s="9"/>
      <c r="J22" s="9"/>
    </row>
    <row r="23" spans="1:10" ht="36" customHeight="1">
      <c r="A23" s="15" t="s">
        <v>298</v>
      </c>
      <c r="B23" s="12">
        <v>13</v>
      </c>
      <c r="C23" s="9" t="s">
        <v>309</v>
      </c>
      <c r="D23" s="12" t="s">
        <v>310</v>
      </c>
      <c r="E23" s="9" t="s">
        <v>281</v>
      </c>
      <c r="F23" s="9" t="s">
        <v>311</v>
      </c>
      <c r="G23" s="12"/>
      <c r="H23" s="12" t="s">
        <v>268</v>
      </c>
      <c r="I23" s="9"/>
      <c r="J23" s="9"/>
    </row>
    <row r="24" spans="1:10" ht="36" customHeight="1">
      <c r="A24" s="15" t="s">
        <v>298</v>
      </c>
      <c r="B24" s="12">
        <v>14</v>
      </c>
      <c r="C24" s="9" t="s">
        <v>312</v>
      </c>
      <c r="D24" s="12" t="s">
        <v>277</v>
      </c>
      <c r="E24" s="9" t="s">
        <v>313</v>
      </c>
      <c r="F24" s="9" t="s">
        <v>314</v>
      </c>
      <c r="G24" s="12"/>
      <c r="H24" s="12" t="s">
        <v>268</v>
      </c>
      <c r="I24" s="9"/>
      <c r="J24" s="9"/>
    </row>
    <row r="25" spans="1:10" ht="36" customHeight="1">
      <c r="A25" s="16" t="s">
        <v>315</v>
      </c>
      <c r="B25" s="12">
        <v>15</v>
      </c>
      <c r="C25" s="9" t="s">
        <v>316</v>
      </c>
      <c r="D25" s="12" t="s">
        <v>317</v>
      </c>
      <c r="E25" s="9" t="s">
        <v>318</v>
      </c>
      <c r="F25" s="9" t="s">
        <v>319</v>
      </c>
      <c r="G25" s="12"/>
      <c r="H25" s="12" t="s">
        <v>268</v>
      </c>
      <c r="I25" s="9"/>
      <c r="J25" s="9"/>
    </row>
    <row r="26" spans="1:10" ht="36" customHeight="1">
      <c r="A26" s="16" t="s">
        <v>315</v>
      </c>
      <c r="B26" s="12">
        <v>16</v>
      </c>
      <c r="C26" s="9" t="s">
        <v>320</v>
      </c>
      <c r="D26" s="12" t="s">
        <v>321</v>
      </c>
      <c r="E26" s="9" t="s">
        <v>322</v>
      </c>
      <c r="F26" s="9" t="s">
        <v>323</v>
      </c>
      <c r="G26" s="12"/>
      <c r="H26" s="12" t="s">
        <v>268</v>
      </c>
      <c r="I26" s="9"/>
      <c r="J26" s="9"/>
    </row>
    <row r="27" spans="1:10" ht="36" customHeight="1">
      <c r="A27" s="16" t="s">
        <v>315</v>
      </c>
      <c r="B27" s="12">
        <v>17</v>
      </c>
      <c r="C27" s="9" t="s">
        <v>324</v>
      </c>
      <c r="D27" s="12" t="s">
        <v>325</v>
      </c>
      <c r="E27" s="9" t="s">
        <v>325</v>
      </c>
      <c r="F27" s="9" t="s">
        <v>326</v>
      </c>
      <c r="G27" s="12"/>
      <c r="H27" s="12" t="s">
        <v>268</v>
      </c>
      <c r="I27" s="9"/>
      <c r="J27" s="9"/>
    </row>
    <row r="28" spans="1:10" ht="36" customHeight="1">
      <c r="A28" s="16" t="s">
        <v>315</v>
      </c>
      <c r="B28" s="12">
        <v>18</v>
      </c>
      <c r="C28" s="9" t="s">
        <v>327</v>
      </c>
      <c r="D28" s="12" t="s">
        <v>328</v>
      </c>
      <c r="E28" s="9" t="s">
        <v>328</v>
      </c>
      <c r="F28" s="9" t="s">
        <v>329</v>
      </c>
      <c r="G28" s="12"/>
      <c r="H28" s="12" t="s">
        <v>268</v>
      </c>
      <c r="I28" s="9"/>
      <c r="J28" s="9"/>
    </row>
    <row r="29" spans="1:10" ht="36" customHeight="1">
      <c r="A29" s="16" t="s">
        <v>315</v>
      </c>
      <c r="B29" s="12">
        <v>19</v>
      </c>
      <c r="C29" s="9" t="s">
        <v>330</v>
      </c>
      <c r="D29" s="12" t="s">
        <v>331</v>
      </c>
      <c r="E29" s="9" t="s">
        <v>331</v>
      </c>
      <c r="F29" s="9" t="s">
        <v>332</v>
      </c>
      <c r="G29" s="12"/>
      <c r="H29" s="12" t="s">
        <v>268</v>
      </c>
      <c r="I29" s="9"/>
      <c r="J29" s="9"/>
    </row>
    <row r="30" spans="1:10" ht="36" customHeight="1">
      <c r="A30" s="16" t="s">
        <v>315</v>
      </c>
      <c r="B30" s="12">
        <v>20</v>
      </c>
      <c r="C30" s="9" t="s">
        <v>333</v>
      </c>
      <c r="D30" s="12" t="s">
        <v>334</v>
      </c>
      <c r="E30" s="9" t="s">
        <v>335</v>
      </c>
      <c r="F30" s="9" t="s">
        <v>336</v>
      </c>
      <c r="G30" s="12"/>
      <c r="H30" s="12" t="s">
        <v>268</v>
      </c>
      <c r="I30" s="9"/>
      <c r="J30" s="9"/>
    </row>
    <row r="31" spans="1:10" ht="36" customHeight="1">
      <c r="A31" s="16" t="s">
        <v>315</v>
      </c>
      <c r="B31" s="12">
        <v>21</v>
      </c>
      <c r="C31" s="9" t="s">
        <v>337</v>
      </c>
      <c r="D31" s="12" t="s">
        <v>338</v>
      </c>
      <c r="E31" s="9" t="s">
        <v>339</v>
      </c>
      <c r="F31" s="9" t="s">
        <v>340</v>
      </c>
      <c r="G31" s="12"/>
      <c r="H31" s="12" t="s">
        <v>268</v>
      </c>
      <c r="I31" s="9"/>
      <c r="J31" s="9"/>
    </row>
    <row r="32" spans="1:10" ht="36" customHeight="1">
      <c r="A32" s="16" t="s">
        <v>315</v>
      </c>
      <c r="B32" s="12">
        <v>22</v>
      </c>
      <c r="C32" s="9" t="s">
        <v>341</v>
      </c>
      <c r="D32" s="12" t="s">
        <v>342</v>
      </c>
      <c r="E32" s="9" t="s">
        <v>343</v>
      </c>
      <c r="F32" s="9" t="s">
        <v>344</v>
      </c>
      <c r="G32" s="12"/>
      <c r="H32" s="12" t="s">
        <v>268</v>
      </c>
      <c r="I32" s="9"/>
      <c r="J32" s="9"/>
    </row>
    <row r="33" spans="1:10" ht="36" customHeight="1">
      <c r="A33" s="16" t="s">
        <v>315</v>
      </c>
      <c r="B33" s="12">
        <v>23</v>
      </c>
      <c r="C33" s="9" t="s">
        <v>345</v>
      </c>
      <c r="D33" s="12" t="s">
        <v>346</v>
      </c>
      <c r="E33" s="9" t="s">
        <v>347</v>
      </c>
      <c r="F33" s="9" t="s">
        <v>348</v>
      </c>
      <c r="G33" s="12"/>
      <c r="H33" s="12" t="s">
        <v>268</v>
      </c>
      <c r="I33" s="9"/>
      <c r="J33" s="9"/>
    </row>
    <row r="34" spans="1:10" ht="36" customHeight="1">
      <c r="A34" s="16" t="s">
        <v>315</v>
      </c>
      <c r="B34" s="12">
        <v>24</v>
      </c>
      <c r="C34" s="9" t="s">
        <v>349</v>
      </c>
      <c r="D34" s="12" t="s">
        <v>281</v>
      </c>
      <c r="E34" s="9" t="s">
        <v>281</v>
      </c>
      <c r="F34" s="9" t="s">
        <v>350</v>
      </c>
      <c r="G34" s="12"/>
      <c r="H34" s="12" t="s">
        <v>268</v>
      </c>
      <c r="I34" s="9"/>
      <c r="J34" s="9"/>
    </row>
    <row r="35" spans="1:10" ht="36" customHeight="1">
      <c r="A35" s="16" t="s">
        <v>315</v>
      </c>
      <c r="B35" s="12">
        <v>25</v>
      </c>
      <c r="C35" s="9" t="s">
        <v>351</v>
      </c>
      <c r="D35" s="12" t="s">
        <v>277</v>
      </c>
      <c r="E35" s="9" t="s">
        <v>352</v>
      </c>
      <c r="F35" s="9" t="s">
        <v>353</v>
      </c>
      <c r="G35" s="12"/>
      <c r="H35" s="12" t="s">
        <v>268</v>
      </c>
      <c r="I35" s="9"/>
      <c r="J35" s="9"/>
    </row>
    <row r="36" spans="1:10" ht="36" customHeight="1">
      <c r="A36" s="16" t="s">
        <v>315</v>
      </c>
      <c r="B36" s="12">
        <v>26</v>
      </c>
      <c r="C36" s="9" t="s">
        <v>354</v>
      </c>
      <c r="D36" s="12" t="s">
        <v>277</v>
      </c>
      <c r="E36" s="9" t="s">
        <v>281</v>
      </c>
      <c r="F36" s="9" t="s">
        <v>314</v>
      </c>
      <c r="G36" s="12"/>
      <c r="H36" s="12" t="s">
        <v>268</v>
      </c>
      <c r="I36" s="9"/>
      <c r="J36" s="9"/>
    </row>
    <row r="37" spans="1:10" ht="36" customHeight="1">
      <c r="A37" s="17" t="s">
        <v>355</v>
      </c>
      <c r="B37" s="12">
        <v>27</v>
      </c>
      <c r="C37" s="9" t="s">
        <v>356</v>
      </c>
      <c r="D37" s="12" t="s">
        <v>357</v>
      </c>
      <c r="E37" s="9" t="s">
        <v>357</v>
      </c>
      <c r="F37" s="9" t="s">
        <v>358</v>
      </c>
      <c r="G37" s="12"/>
      <c r="H37" s="12" t="s">
        <v>268</v>
      </c>
      <c r="I37" s="9"/>
      <c r="J37" s="9"/>
    </row>
    <row r="38" spans="1:10" ht="36" customHeight="1">
      <c r="A38" s="17" t="s">
        <v>355</v>
      </c>
      <c r="B38" s="12">
        <v>28</v>
      </c>
      <c r="C38" s="9" t="s">
        <v>359</v>
      </c>
      <c r="D38" s="12" t="s">
        <v>360</v>
      </c>
      <c r="E38" s="9" t="s">
        <v>281</v>
      </c>
      <c r="F38" s="9" t="s">
        <v>361</v>
      </c>
      <c r="G38" s="12"/>
      <c r="H38" s="12" t="s">
        <v>268</v>
      </c>
      <c r="I38" s="9"/>
      <c r="J38" s="9"/>
    </row>
    <row r="39" spans="1:10" ht="36" customHeight="1">
      <c r="A39" s="18" t="s">
        <v>362</v>
      </c>
      <c r="B39" s="12">
        <v>29</v>
      </c>
      <c r="C39" s="9" t="s">
        <v>363</v>
      </c>
      <c r="D39" s="12" t="s">
        <v>364</v>
      </c>
      <c r="E39" s="9" t="s">
        <v>365</v>
      </c>
      <c r="F39" s="9" t="s">
        <v>366</v>
      </c>
      <c r="G39" s="12"/>
      <c r="H39" s="12" t="s">
        <v>268</v>
      </c>
      <c r="I39" s="9"/>
      <c r="J39" s="9"/>
    </row>
    <row r="40" spans="1:10" ht="36" customHeight="1">
      <c r="A40" s="18" t="s">
        <v>362</v>
      </c>
      <c r="B40" s="12">
        <v>30</v>
      </c>
      <c r="C40" s="9" t="s">
        <v>367</v>
      </c>
      <c r="D40" s="12" t="s">
        <v>277</v>
      </c>
      <c r="E40" s="9" t="s">
        <v>368</v>
      </c>
      <c r="F40" s="9" t="s">
        <v>308</v>
      </c>
      <c r="G40" s="12"/>
      <c r="H40" s="12" t="s">
        <v>268</v>
      </c>
      <c r="I40" s="9"/>
      <c r="J40" s="9"/>
    </row>
    <row r="41" spans="1:10" ht="36" customHeight="1">
      <c r="A41" s="18" t="s">
        <v>362</v>
      </c>
      <c r="B41" s="12">
        <v>31</v>
      </c>
      <c r="C41" s="9" t="s">
        <v>369</v>
      </c>
      <c r="D41" s="12" t="s">
        <v>370</v>
      </c>
      <c r="E41" s="9" t="s">
        <v>281</v>
      </c>
      <c r="F41" s="9" t="s">
        <v>308</v>
      </c>
      <c r="G41" s="12"/>
      <c r="H41" s="12" t="s">
        <v>268</v>
      </c>
      <c r="I41" s="9"/>
      <c r="J41" s="9"/>
    </row>
    <row r="42" spans="1:10" ht="36" customHeight="1">
      <c r="A42" s="18" t="s">
        <v>362</v>
      </c>
      <c r="B42" s="12">
        <v>32</v>
      </c>
      <c r="C42" s="9" t="s">
        <v>371</v>
      </c>
      <c r="D42" s="12" t="s">
        <v>372</v>
      </c>
      <c r="E42" s="9" t="s">
        <v>373</v>
      </c>
      <c r="F42" s="9" t="s">
        <v>374</v>
      </c>
      <c r="G42" s="12"/>
      <c r="H42" s="12" t="s">
        <v>268</v>
      </c>
      <c r="I42" s="9"/>
      <c r="J42" s="9"/>
    </row>
    <row r="43" spans="1:10" ht="36" customHeight="1">
      <c r="A43" s="18" t="s">
        <v>362</v>
      </c>
      <c r="B43" s="12">
        <v>33</v>
      </c>
      <c r="C43" s="9" t="s">
        <v>375</v>
      </c>
      <c r="D43" s="12" t="s">
        <v>376</v>
      </c>
      <c r="E43" s="9" t="s">
        <v>377</v>
      </c>
      <c r="F43" s="9" t="s">
        <v>378</v>
      </c>
      <c r="G43" s="12"/>
      <c r="H43" s="12" t="s">
        <v>268</v>
      </c>
      <c r="I43" s="9"/>
      <c r="J43" s="9"/>
    </row>
    <row r="44" spans="1:10" ht="36" customHeight="1">
      <c r="A44" s="18" t="s">
        <v>362</v>
      </c>
      <c r="B44" s="12">
        <v>34</v>
      </c>
      <c r="C44" s="9" t="s">
        <v>379</v>
      </c>
      <c r="D44" s="12" t="s">
        <v>277</v>
      </c>
      <c r="E44" s="9" t="s">
        <v>380</v>
      </c>
      <c r="F44" s="9" t="s">
        <v>381</v>
      </c>
      <c r="G44" s="12"/>
      <c r="H44" s="12" t="s">
        <v>268</v>
      </c>
      <c r="I44" s="9"/>
      <c r="J44" s="9"/>
    </row>
    <row r="45" spans="1:10" ht="36" customHeight="1">
      <c r="A45" s="18" t="s">
        <v>362</v>
      </c>
      <c r="B45" s="12">
        <v>35</v>
      </c>
      <c r="C45" s="9" t="s">
        <v>382</v>
      </c>
      <c r="D45" s="12" t="s">
        <v>277</v>
      </c>
      <c r="E45" s="9" t="s">
        <v>281</v>
      </c>
      <c r="F45" s="9" t="s">
        <v>314</v>
      </c>
      <c r="G45" s="12"/>
      <c r="H45" s="12" t="s">
        <v>268</v>
      </c>
      <c r="I45" s="9"/>
      <c r="J45" s="9"/>
    </row>
    <row r="46" spans="1:10" ht="36" customHeight="1">
      <c r="A46" s="19" t="s">
        <v>383</v>
      </c>
      <c r="B46" s="12">
        <v>36</v>
      </c>
      <c r="C46" s="9" t="s">
        <v>384</v>
      </c>
      <c r="D46" s="12" t="s">
        <v>385</v>
      </c>
      <c r="E46" s="9" t="s">
        <v>227</v>
      </c>
      <c r="F46" s="9" t="s">
        <v>386</v>
      </c>
      <c r="G46" s="12"/>
      <c r="H46" s="12" t="s">
        <v>268</v>
      </c>
      <c r="I46" s="9"/>
      <c r="J46" s="9"/>
    </row>
    <row r="47" spans="1:10" ht="36" customHeight="1">
      <c r="A47" s="19" t="s">
        <v>383</v>
      </c>
      <c r="B47" s="12">
        <v>37</v>
      </c>
      <c r="C47" s="9" t="s">
        <v>387</v>
      </c>
      <c r="D47" s="12" t="s">
        <v>388</v>
      </c>
      <c r="E47" s="9" t="s">
        <v>389</v>
      </c>
      <c r="F47" s="9" t="s">
        <v>390</v>
      </c>
      <c r="G47" s="12"/>
      <c r="H47" s="12" t="s">
        <v>268</v>
      </c>
      <c r="I47" s="9"/>
      <c r="J47" s="9"/>
    </row>
    <row r="48" spans="1:10" ht="36" customHeight="1">
      <c r="A48" s="19" t="s">
        <v>383</v>
      </c>
      <c r="B48" s="12">
        <v>38</v>
      </c>
      <c r="C48" s="9" t="s">
        <v>391</v>
      </c>
      <c r="D48" s="12" t="s">
        <v>151</v>
      </c>
      <c r="E48" s="9" t="s">
        <v>227</v>
      </c>
      <c r="F48" s="9" t="s">
        <v>392</v>
      </c>
      <c r="G48" s="12"/>
      <c r="H48" s="12" t="s">
        <v>268</v>
      </c>
      <c r="I48" s="9"/>
      <c r="J48" s="9"/>
    </row>
    <row r="49" spans="1:10" ht="36" customHeight="1">
      <c r="A49" s="20" t="s">
        <v>393</v>
      </c>
      <c r="B49" s="12">
        <v>39</v>
      </c>
      <c r="C49" s="9" t="s">
        <v>394</v>
      </c>
      <c r="D49" s="12" t="s">
        <v>295</v>
      </c>
      <c r="E49" s="9" t="s">
        <v>395</v>
      </c>
      <c r="F49" s="9" t="s">
        <v>396</v>
      </c>
      <c r="G49" s="12"/>
      <c r="H49" s="12" t="s">
        <v>268</v>
      </c>
      <c r="I49" s="9"/>
      <c r="J49" s="9"/>
    </row>
    <row r="50" spans="1:10" ht="36" customHeight="1">
      <c r="A50" s="20" t="s">
        <v>393</v>
      </c>
      <c r="B50" s="12">
        <v>40</v>
      </c>
      <c r="C50" s="9" t="s">
        <v>397</v>
      </c>
      <c r="D50" s="12" t="s">
        <v>295</v>
      </c>
      <c r="E50" s="9" t="s">
        <v>395</v>
      </c>
      <c r="F50" s="9" t="s">
        <v>398</v>
      </c>
      <c r="G50" s="12"/>
      <c r="H50" s="12" t="s">
        <v>268</v>
      </c>
      <c r="I50" s="9"/>
      <c r="J50" s="9"/>
    </row>
    <row r="51" spans="1:10" ht="36" customHeight="1">
      <c r="A51" s="20" t="s">
        <v>393</v>
      </c>
      <c r="B51" s="12">
        <v>41</v>
      </c>
      <c r="C51" s="9" t="s">
        <v>399</v>
      </c>
      <c r="D51" s="12" t="s">
        <v>395</v>
      </c>
      <c r="E51" s="9" t="s">
        <v>395</v>
      </c>
      <c r="F51" s="9" t="s">
        <v>400</v>
      </c>
      <c r="G51" s="12"/>
      <c r="H51" s="12" t="s">
        <v>268</v>
      </c>
      <c r="I51" s="9"/>
      <c r="J51" s="9"/>
    </row>
    <row r="52" spans="1:10" ht="36" customHeight="1">
      <c r="A52" s="20" t="s">
        <v>393</v>
      </c>
      <c r="B52" s="12">
        <v>42</v>
      </c>
      <c r="C52" s="9" t="s">
        <v>401</v>
      </c>
      <c r="D52" s="12" t="s">
        <v>402</v>
      </c>
      <c r="E52" s="9" t="s">
        <v>402</v>
      </c>
      <c r="F52" s="9" t="s">
        <v>403</v>
      </c>
      <c r="G52" s="12"/>
      <c r="H52" s="12" t="s">
        <v>268</v>
      </c>
      <c r="I52" s="9"/>
      <c r="J52" s="9"/>
    </row>
    <row r="55" spans="1:10">
      <c r="A55" s="21" t="s">
        <v>404</v>
      </c>
      <c r="B55" s="33"/>
      <c r="C55" s="30"/>
      <c r="D55" s="30"/>
      <c r="E55" s="30"/>
      <c r="F55" s="30"/>
      <c r="G55" s="30"/>
      <c r="H55" s="30"/>
      <c r="I55" s="30"/>
      <c r="J55" s="30"/>
    </row>
    <row r="56" spans="1:10" ht="26.1" customHeight="1">
      <c r="A56" s="28" t="s">
        <v>405</v>
      </c>
      <c r="B56" s="30"/>
      <c r="C56" s="30"/>
      <c r="D56" s="30"/>
      <c r="E56" s="30"/>
      <c r="F56" s="30"/>
      <c r="G56" s="30"/>
      <c r="H56" s="30"/>
      <c r="I56" s="30"/>
      <c r="J56" s="30"/>
    </row>
    <row r="57" spans="1:10" ht="26.1" customHeight="1">
      <c r="A57" s="28" t="s">
        <v>406</v>
      </c>
      <c r="B57" s="30"/>
      <c r="C57" s="30"/>
      <c r="D57" s="30"/>
      <c r="E57" s="30"/>
      <c r="F57" s="30"/>
      <c r="G57" s="30"/>
      <c r="H57" s="30"/>
      <c r="I57" s="30"/>
      <c r="J57" s="30"/>
    </row>
    <row r="58" spans="1:10" ht="26.1" customHeight="1">
      <c r="A58" s="28" t="s">
        <v>407</v>
      </c>
      <c r="B58" s="30"/>
      <c r="C58" s="30"/>
      <c r="D58" s="30"/>
      <c r="E58" s="30"/>
      <c r="F58" s="30"/>
      <c r="G58" s="30"/>
      <c r="H58" s="30"/>
      <c r="I58" s="30"/>
      <c r="J58" s="30"/>
    </row>
  </sheetData>
  <autoFilter ref="A10:J52" xr:uid="{00000000-0009-0000-0000-000005000000}"/>
  <mergeCells count="16">
    <mergeCell ref="G6:J6"/>
    <mergeCell ref="A1:J1"/>
    <mergeCell ref="B8:E8"/>
    <mergeCell ref="B4:E4"/>
    <mergeCell ref="A58:J58"/>
    <mergeCell ref="B55:J55"/>
    <mergeCell ref="G8:J8"/>
    <mergeCell ref="A56:J56"/>
    <mergeCell ref="G4:J4"/>
    <mergeCell ref="B6:E6"/>
    <mergeCell ref="B7:E7"/>
    <mergeCell ref="G7:J7"/>
    <mergeCell ref="A57:J57"/>
    <mergeCell ref="B5:E5"/>
    <mergeCell ref="A2:J2"/>
    <mergeCell ref="G5:J5"/>
  </mergeCells>
  <dataValidations count="1">
    <dataValidation type="list" allowBlank="1" sqref="H11:H52" xr:uid="{00000000-0002-0000-0500-000000000000}">
      <formula1>"未開始,進行中,已完成,不適用"</formula1>
    </dataValidation>
  </dataValidations>
  <pageMargins left="0.75" right="0.75" top="1" bottom="1" header="0.5" footer="0.5"/>
</worksheet>
</file>

<file path=docMetadata/LabelInfo.xml><?xml version="1.0" encoding="utf-8"?>
<clbl:labelList xmlns:clbl="http://schemas.microsoft.com/office/2020/mipLabelMetadata">
  <clbl:label id="{e8933c00-c18b-49db-92d5-e6deaeecfc2c}" enabled="1" method="Standard" siteId="{c7da88d7-c903-4214-ba1c-7a1e8a6d0b0c}"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廖冠智(134719)</cp:lastModifiedBy>
  <cp:revision/>
  <dcterms:created xsi:type="dcterms:W3CDTF">2026-06-30T02:20:14Z</dcterms:created>
  <dcterms:modified xsi:type="dcterms:W3CDTF">2026-06-30T02:38:13Z</dcterms:modified>
  <cp:category/>
  <cp:contentStatus/>
</cp:coreProperties>
</file>